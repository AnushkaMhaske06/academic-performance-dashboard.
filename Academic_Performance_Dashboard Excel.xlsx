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C5BE9102-3211-4F36-AA4E-450943C6666D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tudent Data" sheetId="1" r:id="rId1"/>
    <sheet name="Summary" sheetId="2" r:id="rId2"/>
    <sheet name="Dashboard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5" i="2" l="1"/>
  <c r="F14" i="2"/>
  <c r="C14" i="2"/>
  <c r="B14" i="2"/>
  <c r="C13" i="2"/>
  <c r="B13" i="2"/>
  <c r="C12" i="2"/>
  <c r="B12" i="2"/>
  <c r="C11" i="2"/>
  <c r="B11" i="2"/>
  <c r="F10" i="2"/>
  <c r="C10" i="2"/>
  <c r="B10" i="2"/>
  <c r="F9" i="2"/>
  <c r="F8" i="2"/>
  <c r="F7" i="2"/>
  <c r="F6" i="2"/>
  <c r="F5" i="2"/>
  <c r="B5" i="2"/>
  <c r="T6" i="3" s="1"/>
  <c r="F4" i="2"/>
  <c r="B4" i="2"/>
  <c r="N6" i="3" s="1"/>
  <c r="F3" i="2"/>
  <c r="B3" i="2"/>
  <c r="H6" i="3" s="1"/>
  <c r="B2" i="2"/>
  <c r="B6" i="3" s="1"/>
</calcChain>
</file>

<file path=xl/sharedStrings.xml><?xml version="1.0" encoding="utf-8"?>
<sst xmlns="http://schemas.openxmlformats.org/spreadsheetml/2006/main" count="1327" uniqueCount="460">
  <si>
    <t>StudentID</t>
  </si>
  <si>
    <t>StudentName</t>
  </si>
  <si>
    <t>Gender</t>
  </si>
  <si>
    <t>Class</t>
  </si>
  <si>
    <t>Department</t>
  </si>
  <si>
    <t>Semester</t>
  </si>
  <si>
    <t>AttendancePct</t>
  </si>
  <si>
    <t>AssignmentScore</t>
  </si>
  <si>
    <t>MidtermScore</t>
  </si>
  <si>
    <t>FinalExamScore</t>
  </si>
  <si>
    <t>GPA</t>
  </si>
  <si>
    <t>S001</t>
  </si>
  <si>
    <t>Student 1</t>
  </si>
  <si>
    <t>Female</t>
  </si>
  <si>
    <t>Final</t>
  </si>
  <si>
    <t>Computer Science</t>
  </si>
  <si>
    <t>S002</t>
  </si>
  <si>
    <t>Student 2</t>
  </si>
  <si>
    <t>Male</t>
  </si>
  <si>
    <t>TY</t>
  </si>
  <si>
    <t>Electronics</t>
  </si>
  <si>
    <t>S003</t>
  </si>
  <si>
    <t>Student 3</t>
  </si>
  <si>
    <t>FY</t>
  </si>
  <si>
    <t>Arts</t>
  </si>
  <si>
    <t>S004</t>
  </si>
  <si>
    <t>Student 4</t>
  </si>
  <si>
    <t>S005</t>
  </si>
  <si>
    <t>Student 5</t>
  </si>
  <si>
    <t>S006</t>
  </si>
  <si>
    <t>Student 6</t>
  </si>
  <si>
    <t>S007</t>
  </si>
  <si>
    <t>Student 7</t>
  </si>
  <si>
    <t>S008</t>
  </si>
  <si>
    <t>Student 8</t>
  </si>
  <si>
    <t>S009</t>
  </si>
  <si>
    <t>Student 9</t>
  </si>
  <si>
    <t>S010</t>
  </si>
  <si>
    <t>Student 10</t>
  </si>
  <si>
    <t>Commerce</t>
  </si>
  <si>
    <t>S011</t>
  </si>
  <si>
    <t>Student 11</t>
  </si>
  <si>
    <t>S012</t>
  </si>
  <si>
    <t>Student 12</t>
  </si>
  <si>
    <t>S013</t>
  </si>
  <si>
    <t>Student 13</t>
  </si>
  <si>
    <t>Mechanical</t>
  </si>
  <si>
    <t>S014</t>
  </si>
  <si>
    <t>Student 14</t>
  </si>
  <si>
    <t>S015</t>
  </si>
  <si>
    <t>Student 15</t>
  </si>
  <si>
    <t>S016</t>
  </si>
  <si>
    <t>Student 16</t>
  </si>
  <si>
    <t>S017</t>
  </si>
  <si>
    <t>Student 17</t>
  </si>
  <si>
    <t>S018</t>
  </si>
  <si>
    <t>Student 18</t>
  </si>
  <si>
    <t>SY</t>
  </si>
  <si>
    <t>S019</t>
  </si>
  <si>
    <t>Student 19</t>
  </si>
  <si>
    <t>S020</t>
  </si>
  <si>
    <t>Student 20</t>
  </si>
  <si>
    <t>S021</t>
  </si>
  <si>
    <t>Student 21</t>
  </si>
  <si>
    <t>S022</t>
  </si>
  <si>
    <t>Student 22</t>
  </si>
  <si>
    <t>S023</t>
  </si>
  <si>
    <t>Student 23</t>
  </si>
  <si>
    <t>S024</t>
  </si>
  <si>
    <t>Student 24</t>
  </si>
  <si>
    <t>S025</t>
  </si>
  <si>
    <t>Student 25</t>
  </si>
  <si>
    <t>S026</t>
  </si>
  <si>
    <t>Student 26</t>
  </si>
  <si>
    <t>S027</t>
  </si>
  <si>
    <t>Student 27</t>
  </si>
  <si>
    <t>S028</t>
  </si>
  <si>
    <t>Student 28</t>
  </si>
  <si>
    <t>S029</t>
  </si>
  <si>
    <t>Student 29</t>
  </si>
  <si>
    <t>S030</t>
  </si>
  <si>
    <t>Student 30</t>
  </si>
  <si>
    <t>S031</t>
  </si>
  <si>
    <t>Student 31</t>
  </si>
  <si>
    <t>S032</t>
  </si>
  <si>
    <t>Student 32</t>
  </si>
  <si>
    <t>S033</t>
  </si>
  <si>
    <t>Student 33</t>
  </si>
  <si>
    <t>S034</t>
  </si>
  <si>
    <t>Student 34</t>
  </si>
  <si>
    <t>S035</t>
  </si>
  <si>
    <t>Student 35</t>
  </si>
  <si>
    <t>S036</t>
  </si>
  <si>
    <t>Student 36</t>
  </si>
  <si>
    <t>S037</t>
  </si>
  <si>
    <t>Student 37</t>
  </si>
  <si>
    <t>S038</t>
  </si>
  <si>
    <t>Student 38</t>
  </si>
  <si>
    <t>S039</t>
  </si>
  <si>
    <t>Student 39</t>
  </si>
  <si>
    <t>S040</t>
  </si>
  <si>
    <t>Student 40</t>
  </si>
  <si>
    <t>S041</t>
  </si>
  <si>
    <t>Student 41</t>
  </si>
  <si>
    <t>S042</t>
  </si>
  <si>
    <t>Student 42</t>
  </si>
  <si>
    <t>S043</t>
  </si>
  <si>
    <t>Student 43</t>
  </si>
  <si>
    <t>S044</t>
  </si>
  <si>
    <t>Student 44</t>
  </si>
  <si>
    <t>S045</t>
  </si>
  <si>
    <t>Student 45</t>
  </si>
  <si>
    <t>S046</t>
  </si>
  <si>
    <t>Student 46</t>
  </si>
  <si>
    <t>S047</t>
  </si>
  <si>
    <t>Student 47</t>
  </si>
  <si>
    <t>S048</t>
  </si>
  <si>
    <t>Student 48</t>
  </si>
  <si>
    <t>S049</t>
  </si>
  <si>
    <t>Student 49</t>
  </si>
  <si>
    <t>S050</t>
  </si>
  <si>
    <t>Student 50</t>
  </si>
  <si>
    <t>S051</t>
  </si>
  <si>
    <t>Student 51</t>
  </si>
  <si>
    <t>S052</t>
  </si>
  <si>
    <t>Student 52</t>
  </si>
  <si>
    <t>S053</t>
  </si>
  <si>
    <t>Student 53</t>
  </si>
  <si>
    <t>S054</t>
  </si>
  <si>
    <t>Student 54</t>
  </si>
  <si>
    <t>S055</t>
  </si>
  <si>
    <t>Student 55</t>
  </si>
  <si>
    <t>S056</t>
  </si>
  <si>
    <t>Student 56</t>
  </si>
  <si>
    <t>S057</t>
  </si>
  <si>
    <t>Student 57</t>
  </si>
  <si>
    <t>S058</t>
  </si>
  <si>
    <t>Student 58</t>
  </si>
  <si>
    <t>S059</t>
  </si>
  <si>
    <t>Student 59</t>
  </si>
  <si>
    <t>S060</t>
  </si>
  <si>
    <t>Student 60</t>
  </si>
  <si>
    <t>S061</t>
  </si>
  <si>
    <t>Student 61</t>
  </si>
  <si>
    <t>S062</t>
  </si>
  <si>
    <t>Student 62</t>
  </si>
  <si>
    <t>S063</t>
  </si>
  <si>
    <t>Student 63</t>
  </si>
  <si>
    <t>S064</t>
  </si>
  <si>
    <t>Student 64</t>
  </si>
  <si>
    <t>S065</t>
  </si>
  <si>
    <t>Student 65</t>
  </si>
  <si>
    <t>S066</t>
  </si>
  <si>
    <t>Student 66</t>
  </si>
  <si>
    <t>S067</t>
  </si>
  <si>
    <t>Student 67</t>
  </si>
  <si>
    <t>S068</t>
  </si>
  <si>
    <t>Student 68</t>
  </si>
  <si>
    <t>S069</t>
  </si>
  <si>
    <t>Student 69</t>
  </si>
  <si>
    <t>S070</t>
  </si>
  <si>
    <t>Student 70</t>
  </si>
  <si>
    <t>S071</t>
  </si>
  <si>
    <t>Student 71</t>
  </si>
  <si>
    <t>S072</t>
  </si>
  <si>
    <t>Student 72</t>
  </si>
  <si>
    <t>S073</t>
  </si>
  <si>
    <t>Student 73</t>
  </si>
  <si>
    <t>S074</t>
  </si>
  <si>
    <t>Student 74</t>
  </si>
  <si>
    <t>S075</t>
  </si>
  <si>
    <t>Student 75</t>
  </si>
  <si>
    <t>S076</t>
  </si>
  <si>
    <t>Student 76</t>
  </si>
  <si>
    <t>S077</t>
  </si>
  <si>
    <t>Student 77</t>
  </si>
  <si>
    <t>S078</t>
  </si>
  <si>
    <t>Student 78</t>
  </si>
  <si>
    <t>S079</t>
  </si>
  <si>
    <t>Student 79</t>
  </si>
  <si>
    <t>S080</t>
  </si>
  <si>
    <t>Student 80</t>
  </si>
  <si>
    <t>S081</t>
  </si>
  <si>
    <t>Student 81</t>
  </si>
  <si>
    <t>S082</t>
  </si>
  <si>
    <t>Student 82</t>
  </si>
  <si>
    <t>S083</t>
  </si>
  <si>
    <t>Student 83</t>
  </si>
  <si>
    <t>S084</t>
  </si>
  <si>
    <t>Student 84</t>
  </si>
  <si>
    <t>S085</t>
  </si>
  <si>
    <t>Student 85</t>
  </si>
  <si>
    <t>S086</t>
  </si>
  <si>
    <t>Student 86</t>
  </si>
  <si>
    <t>S087</t>
  </si>
  <si>
    <t>Student 87</t>
  </si>
  <si>
    <t>S088</t>
  </si>
  <si>
    <t>Student 88</t>
  </si>
  <si>
    <t>S089</t>
  </si>
  <si>
    <t>Student 89</t>
  </si>
  <si>
    <t>S090</t>
  </si>
  <si>
    <t>Student 90</t>
  </si>
  <si>
    <t>S091</t>
  </si>
  <si>
    <t>Student 91</t>
  </si>
  <si>
    <t>S092</t>
  </si>
  <si>
    <t>Student 92</t>
  </si>
  <si>
    <t>S093</t>
  </si>
  <si>
    <t>Student 93</t>
  </si>
  <si>
    <t>S094</t>
  </si>
  <si>
    <t>Student 94</t>
  </si>
  <si>
    <t>S095</t>
  </si>
  <si>
    <t>Student 95</t>
  </si>
  <si>
    <t>S096</t>
  </si>
  <si>
    <t>Student 96</t>
  </si>
  <si>
    <t>S097</t>
  </si>
  <si>
    <t>Student 97</t>
  </si>
  <si>
    <t>S098</t>
  </si>
  <si>
    <t>Student 98</t>
  </si>
  <si>
    <t>S099</t>
  </si>
  <si>
    <t>Student 99</t>
  </si>
  <si>
    <t>S100</t>
  </si>
  <si>
    <t>Student 100</t>
  </si>
  <si>
    <t>S101</t>
  </si>
  <si>
    <t>Student 101</t>
  </si>
  <si>
    <t>S102</t>
  </si>
  <si>
    <t>Student 102</t>
  </si>
  <si>
    <t>S103</t>
  </si>
  <si>
    <t>Student 103</t>
  </si>
  <si>
    <t>S104</t>
  </si>
  <si>
    <t>Student 104</t>
  </si>
  <si>
    <t>S105</t>
  </si>
  <si>
    <t>Student 105</t>
  </si>
  <si>
    <t>S106</t>
  </si>
  <si>
    <t>Student 106</t>
  </si>
  <si>
    <t>S107</t>
  </si>
  <si>
    <t>Student 107</t>
  </si>
  <si>
    <t>S108</t>
  </si>
  <si>
    <t>Student 108</t>
  </si>
  <si>
    <t>S109</t>
  </si>
  <si>
    <t>Student 109</t>
  </si>
  <si>
    <t>S110</t>
  </si>
  <si>
    <t>Student 110</t>
  </si>
  <si>
    <t>S111</t>
  </si>
  <si>
    <t>Student 111</t>
  </si>
  <si>
    <t>S112</t>
  </si>
  <si>
    <t>Student 112</t>
  </si>
  <si>
    <t>S113</t>
  </si>
  <si>
    <t>Student 113</t>
  </si>
  <si>
    <t>S114</t>
  </si>
  <si>
    <t>Student 114</t>
  </si>
  <si>
    <t>S115</t>
  </si>
  <si>
    <t>Student 115</t>
  </si>
  <si>
    <t>S116</t>
  </si>
  <si>
    <t>Student 116</t>
  </si>
  <si>
    <t>S117</t>
  </si>
  <si>
    <t>Student 117</t>
  </si>
  <si>
    <t>S118</t>
  </si>
  <si>
    <t>Student 118</t>
  </si>
  <si>
    <t>S119</t>
  </si>
  <si>
    <t>Student 119</t>
  </si>
  <si>
    <t>S120</t>
  </si>
  <si>
    <t>Student 120</t>
  </si>
  <si>
    <t>S121</t>
  </si>
  <si>
    <t>Student 121</t>
  </si>
  <si>
    <t>S122</t>
  </si>
  <si>
    <t>Student 122</t>
  </si>
  <si>
    <t>S123</t>
  </si>
  <si>
    <t>Student 123</t>
  </si>
  <si>
    <t>S124</t>
  </si>
  <si>
    <t>Student 124</t>
  </si>
  <si>
    <t>S125</t>
  </si>
  <si>
    <t>Student 125</t>
  </si>
  <si>
    <t>S126</t>
  </si>
  <si>
    <t>Student 126</t>
  </si>
  <si>
    <t>S127</t>
  </si>
  <si>
    <t>Student 127</t>
  </si>
  <si>
    <t>S128</t>
  </si>
  <si>
    <t>Student 128</t>
  </si>
  <si>
    <t>S129</t>
  </si>
  <si>
    <t>Student 129</t>
  </si>
  <si>
    <t>S130</t>
  </si>
  <si>
    <t>Student 130</t>
  </si>
  <si>
    <t>S131</t>
  </si>
  <si>
    <t>Student 131</t>
  </si>
  <si>
    <t>S132</t>
  </si>
  <si>
    <t>Student 132</t>
  </si>
  <si>
    <t>S133</t>
  </si>
  <si>
    <t>Student 133</t>
  </si>
  <si>
    <t>S134</t>
  </si>
  <si>
    <t>Student 134</t>
  </si>
  <si>
    <t>S135</t>
  </si>
  <si>
    <t>Student 135</t>
  </si>
  <si>
    <t>S136</t>
  </si>
  <si>
    <t>Student 136</t>
  </si>
  <si>
    <t>S137</t>
  </si>
  <si>
    <t>Student 137</t>
  </si>
  <si>
    <t>S138</t>
  </si>
  <si>
    <t>Student 138</t>
  </si>
  <si>
    <t>S139</t>
  </si>
  <si>
    <t>Student 139</t>
  </si>
  <si>
    <t>S140</t>
  </si>
  <si>
    <t>Student 140</t>
  </si>
  <si>
    <t>S141</t>
  </si>
  <si>
    <t>Student 141</t>
  </si>
  <si>
    <t>S142</t>
  </si>
  <si>
    <t>Student 142</t>
  </si>
  <si>
    <t>S143</t>
  </si>
  <si>
    <t>Student 143</t>
  </si>
  <si>
    <t>S144</t>
  </si>
  <si>
    <t>Student 144</t>
  </si>
  <si>
    <t>S145</t>
  </si>
  <si>
    <t>Student 145</t>
  </si>
  <si>
    <t>S146</t>
  </si>
  <si>
    <t>Student 146</t>
  </si>
  <si>
    <t>S147</t>
  </si>
  <si>
    <t>Student 147</t>
  </si>
  <si>
    <t>S148</t>
  </si>
  <si>
    <t>Student 148</t>
  </si>
  <si>
    <t>S149</t>
  </si>
  <si>
    <t>Student 149</t>
  </si>
  <si>
    <t>S150</t>
  </si>
  <si>
    <t>Student 150</t>
  </si>
  <si>
    <t>S151</t>
  </si>
  <si>
    <t>Student 151</t>
  </si>
  <si>
    <t>S152</t>
  </si>
  <si>
    <t>Student 152</t>
  </si>
  <si>
    <t>S153</t>
  </si>
  <si>
    <t>Student 153</t>
  </si>
  <si>
    <t>S154</t>
  </si>
  <si>
    <t>Student 154</t>
  </si>
  <si>
    <t>S155</t>
  </si>
  <si>
    <t>Student 155</t>
  </si>
  <si>
    <t>S156</t>
  </si>
  <si>
    <t>Student 156</t>
  </si>
  <si>
    <t>S157</t>
  </si>
  <si>
    <t>Student 157</t>
  </si>
  <si>
    <t>S158</t>
  </si>
  <si>
    <t>Student 158</t>
  </si>
  <si>
    <t>S159</t>
  </si>
  <si>
    <t>Student 159</t>
  </si>
  <si>
    <t>S160</t>
  </si>
  <si>
    <t>Student 160</t>
  </si>
  <si>
    <t>S161</t>
  </si>
  <si>
    <t>Student 161</t>
  </si>
  <si>
    <t>S162</t>
  </si>
  <si>
    <t>Student 162</t>
  </si>
  <si>
    <t>S163</t>
  </si>
  <si>
    <t>Student 163</t>
  </si>
  <si>
    <t>S164</t>
  </si>
  <si>
    <t>Student 164</t>
  </si>
  <si>
    <t>S165</t>
  </si>
  <si>
    <t>Student 165</t>
  </si>
  <si>
    <t>S166</t>
  </si>
  <si>
    <t>Student 166</t>
  </si>
  <si>
    <t>S167</t>
  </si>
  <si>
    <t>Student 167</t>
  </si>
  <si>
    <t>S168</t>
  </si>
  <si>
    <t>Student 168</t>
  </si>
  <si>
    <t>S169</t>
  </si>
  <si>
    <t>Student 169</t>
  </si>
  <si>
    <t>S170</t>
  </si>
  <si>
    <t>Student 170</t>
  </si>
  <si>
    <t>S171</t>
  </si>
  <si>
    <t>Student 171</t>
  </si>
  <si>
    <t>S172</t>
  </si>
  <si>
    <t>Student 172</t>
  </si>
  <si>
    <t>S173</t>
  </si>
  <si>
    <t>Student 173</t>
  </si>
  <si>
    <t>S174</t>
  </si>
  <si>
    <t>Student 174</t>
  </si>
  <si>
    <t>S175</t>
  </si>
  <si>
    <t>Student 175</t>
  </si>
  <si>
    <t>S176</t>
  </si>
  <si>
    <t>Student 176</t>
  </si>
  <si>
    <t>S177</t>
  </si>
  <si>
    <t>Student 177</t>
  </si>
  <si>
    <t>S178</t>
  </si>
  <si>
    <t>Student 178</t>
  </si>
  <si>
    <t>S179</t>
  </si>
  <si>
    <t>Student 179</t>
  </si>
  <si>
    <t>S180</t>
  </si>
  <si>
    <t>Student 180</t>
  </si>
  <si>
    <t>S181</t>
  </si>
  <si>
    <t>Student 181</t>
  </si>
  <si>
    <t>S182</t>
  </si>
  <si>
    <t>Student 182</t>
  </si>
  <si>
    <t>S183</t>
  </si>
  <si>
    <t>Student 183</t>
  </si>
  <si>
    <t>S184</t>
  </si>
  <si>
    <t>Student 184</t>
  </si>
  <si>
    <t>S185</t>
  </si>
  <si>
    <t>Student 185</t>
  </si>
  <si>
    <t>S186</t>
  </si>
  <si>
    <t>Student 186</t>
  </si>
  <si>
    <t>S187</t>
  </si>
  <si>
    <t>Student 187</t>
  </si>
  <si>
    <t>S188</t>
  </si>
  <si>
    <t>Student 188</t>
  </si>
  <si>
    <t>S189</t>
  </si>
  <si>
    <t>Student 189</t>
  </si>
  <si>
    <t>S190</t>
  </si>
  <si>
    <t>Student 190</t>
  </si>
  <si>
    <t>S191</t>
  </si>
  <si>
    <t>Student 191</t>
  </si>
  <si>
    <t>S192</t>
  </si>
  <si>
    <t>Student 192</t>
  </si>
  <si>
    <t>S193</t>
  </si>
  <si>
    <t>Student 193</t>
  </si>
  <si>
    <t>S194</t>
  </si>
  <si>
    <t>Student 194</t>
  </si>
  <si>
    <t>S195</t>
  </si>
  <si>
    <t>Student 195</t>
  </si>
  <si>
    <t>S196</t>
  </si>
  <si>
    <t>Student 196</t>
  </si>
  <si>
    <t>S197</t>
  </si>
  <si>
    <t>Student 197</t>
  </si>
  <si>
    <t>S198</t>
  </si>
  <si>
    <t>Student 198</t>
  </si>
  <si>
    <t>S199</t>
  </si>
  <si>
    <t>Student 199</t>
  </si>
  <si>
    <t>S200</t>
  </si>
  <si>
    <t>Student 200</t>
  </si>
  <si>
    <t>KEY PERFORMANCE INDICATORS</t>
  </si>
  <si>
    <t>SEMESTER GPA TREND</t>
  </si>
  <si>
    <t>Attendance%</t>
  </si>
  <si>
    <t>Total Students</t>
  </si>
  <si>
    <t>Avg GPA</t>
  </si>
  <si>
    <t>Semester 1</t>
  </si>
  <si>
    <t>Avg Attendance %</t>
  </si>
  <si>
    <t>Semester 2</t>
  </si>
  <si>
    <t>Pass Rate %</t>
  </si>
  <si>
    <t>Semester 3</t>
  </si>
  <si>
    <t>Semester 4</t>
  </si>
  <si>
    <t>Semester 5</t>
  </si>
  <si>
    <t>AVG GPA BY DEPARTMENT</t>
  </si>
  <si>
    <t>Semester 6</t>
  </si>
  <si>
    <t>Student Count</t>
  </si>
  <si>
    <t>Semester 7</t>
  </si>
  <si>
    <t>Semester 8</t>
  </si>
  <si>
    <t>GENDER GPA COMPARISON</t>
  </si>
  <si>
    <t>TOP 10 STUDENTS BY GPA</t>
  </si>
  <si>
    <t>Student Name</t>
  </si>
  <si>
    <t>🎓  ACADEMIC PERFORMANCE DASHBOARD</t>
  </si>
  <si>
    <t>📚 Total Students</t>
  </si>
  <si>
    <t>⭐ Average GPA</t>
  </si>
  <si>
    <t>📅 Avg Attendance</t>
  </si>
  <si>
    <t>✅ Pass Rate</t>
  </si>
  <si>
    <t>TOP 10 STUDENTS</t>
  </si>
  <si>
    <t>#</t>
  </si>
  <si>
    <t>Name</t>
  </si>
  <si>
    <t>🥇1</t>
  </si>
  <si>
    <t>🥈2</t>
  </si>
  <si>
    <t>🥉3</t>
  </si>
  <si>
    <t xml:space="preserve">  4</t>
  </si>
  <si>
    <t xml:space="preserve">  5</t>
  </si>
  <si>
    <t xml:space="preserve">  6</t>
  </si>
  <si>
    <t xml:space="preserve">  7</t>
  </si>
  <si>
    <t xml:space="preserve">  8</t>
  </si>
  <si>
    <t xml:space="preserve">  9</t>
  </si>
  <si>
    <t xml:space="preserve"> 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</si>
</sst>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%"/>
  </numFmts>
  <fonts count="7" x14ac:knownFonts="1">
    <font>
      <sz val="11"/>
      <color theme="1"/>
      <name val="Calibri"/>
      <family val="2"/>
      <charset val="1"/>
    </font>
    <font>
      <b/>
      <sz val="10"/>
      <color rgb="FFFFFFFF"/>
      <name val="Calibri"/>
      <charset val="1"/>
    </font>
    <font>
      <sz val="9"/>
      <color rgb="FF555555"/>
      <name val="Calibri"/>
      <charset val="1"/>
    </font>
    <font>
      <b/>
      <sz val="9"/>
      <color rgb="FF1A3A5C"/>
      <name val="Calibri"/>
      <charset val="1"/>
    </font>
    <font>
      <b/>
      <sz val="22"/>
      <color rgb="FFFFFFFF"/>
      <name val="Calibri"/>
      <charset val="1"/>
    </font>
    <font>
      <b/>
      <sz val="26"/>
      <color rgb="FFFFFFFF"/>
      <name val="Calibri"/>
      <charset val="1"/>
    </font>
    <font>
      <sz val="9"/>
      <color rgb="FF1A3A5C"/>
      <name val="Calibri"/>
      <charset val="1"/>
    </font>
  </fonts>
  <fills count="14">
    <fill>
      <patternFill patternType="none"/>
    </fill>
    <fill>
      <patternFill patternType="gray125"/>
    </fill>
    <fill>
      <patternFill patternType="solid">
        <fgColor rgb="FF1A3A5C"/>
        <bgColor rgb="FF333399"/>
      </patternFill>
    </fill>
    <fill>
      <patternFill patternType="solid">
        <fgColor rgb="FFEDF4FB"/>
        <bgColor rgb="FFEAF4FB"/>
      </patternFill>
    </fill>
    <fill>
      <patternFill patternType="solid">
        <fgColor rgb="FFFFFFFF"/>
        <bgColor rgb="FFF9F9F9"/>
      </patternFill>
    </fill>
    <fill>
      <patternFill patternType="solid">
        <fgColor rgb="FF0D7377"/>
        <bgColor rgb="FF008080"/>
      </patternFill>
    </fill>
    <fill>
      <patternFill patternType="solid">
        <fgColor rgb="FFEAF4FB"/>
        <bgColor rgb="FFEDF4FB"/>
      </patternFill>
    </fill>
    <fill>
      <patternFill patternType="solid">
        <fgColor rgb="FFFFF9E6"/>
        <bgColor rgb="FFF9F9F9"/>
      </patternFill>
    </fill>
    <fill>
      <patternFill patternType="solid">
        <fgColor rgb="FFF0F7FF"/>
        <bgColor rgb="FFF0F4FF"/>
      </patternFill>
    </fill>
    <fill>
      <patternFill patternType="solid">
        <fgColor rgb="FF5B9BD5"/>
        <bgColor rgb="FF4F81BD"/>
      </patternFill>
    </fill>
    <fill>
      <patternFill patternType="solid">
        <fgColor rgb="FF27AE60"/>
        <bgColor rgb="FF008080"/>
      </patternFill>
    </fill>
    <fill>
      <patternFill patternType="solid">
        <fgColor rgb="FFF4A623"/>
        <bgColor rgb="FFFFC000"/>
      </patternFill>
    </fill>
    <fill>
      <patternFill patternType="solid">
        <fgColor rgb="FFFFF3CD"/>
        <bgColor rgb="FFFFF9E6"/>
      </patternFill>
    </fill>
    <fill>
      <patternFill patternType="solid">
        <fgColor rgb="FFF0F4FF"/>
        <bgColor rgb="FFEDF4FB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10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164" fontId="5" fillId="11" borderId="0" xfId="0" applyNumberFormat="1" applyFont="1" applyFill="1" applyAlignment="1">
      <alignment horizontal="center" vertical="center"/>
    </xf>
    <xf numFmtId="164" fontId="5" fillId="10" borderId="0" xfId="0" applyNumberFormat="1" applyFont="1" applyFill="1" applyAlignment="1">
      <alignment horizontal="center" vertical="center"/>
    </xf>
    <xf numFmtId="2" fontId="5" fillId="5" borderId="0" xfId="0" applyNumberFormat="1" applyFont="1" applyFill="1" applyAlignment="1">
      <alignment horizontal="center" vertical="center"/>
    </xf>
    <xf numFmtId="3" fontId="5" fillId="9" borderId="0" xfId="0" applyNumberFormat="1" applyFont="1" applyFill="1" applyAlignment="1">
      <alignment horizontal="center" vertical="center"/>
    </xf>
    <xf numFmtId="0" fontId="0" fillId="11" borderId="0" xfId="0" applyFill="1"/>
    <xf numFmtId="0" fontId="0" fillId="10" borderId="0" xfId="0" applyFill="1"/>
    <xf numFmtId="0" fontId="0" fillId="5" borderId="0" xfId="0" applyFill="1"/>
    <xf numFmtId="0" fontId="0" fillId="9" borderId="0" xfId="0" applyFill="1"/>
    <xf numFmtId="0" fontId="4" fillId="2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3" fillId="7" borderId="1" xfId="0" applyFont="1" applyFill="1" applyBorder="1" applyAlignment="1">
      <alignment horizontal="center" vertical="center"/>
    </xf>
    <xf numFmtId="2" fontId="3" fillId="7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2" fontId="2" fillId="8" borderId="1" xfId="0" applyNumberFormat="1" applyFont="1" applyFill="1" applyBorder="1" applyAlignment="1">
      <alignment horizontal="center" vertical="center"/>
    </xf>
    <xf numFmtId="0" fontId="0" fillId="2" borderId="0" xfId="0" applyFill="1"/>
    <xf numFmtId="0" fontId="3" fillId="12" borderId="1" xfId="0" applyFont="1" applyFill="1" applyBorder="1" applyAlignment="1">
      <alignment horizontal="center" vertical="center"/>
    </xf>
    <xf numFmtId="2" fontId="3" fillId="12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2" fontId="6" fillId="13" borderId="1" xfId="0" applyNumberFormat="1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7377"/>
      <rgbColor rgb="FFA9D18E"/>
      <rgbColor rgb="FF878787"/>
      <rgbColor rgb="FF5B9BD5"/>
      <rgbColor rgb="FF993366"/>
      <rgbColor rgb="FFFFF3CD"/>
      <rgbColor rgb="FFEAF4FB"/>
      <rgbColor rgb="FF660066"/>
      <rgbColor rgb="FFFF6B6B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4FB"/>
      <rgbColor rgb="FFF0F7FF"/>
      <rgbColor rgb="FFFFF9E6"/>
      <rgbColor rgb="FFF0F4FF"/>
      <rgbColor rgb="FFF9F9F9"/>
      <rgbColor rgb="FFCC99FF"/>
      <rgbColor rgb="FFD9D9D9"/>
      <rgbColor rgb="FF3366FF"/>
      <rgbColor rgb="FF33CCCC"/>
      <rgbColor rgb="FF99CC00"/>
      <rgbColor rgb="FFFFC000"/>
      <rgbColor rgb="FFF4A623"/>
      <rgbColor rgb="FFED7D31"/>
      <rgbColor rgb="FF4F81BD"/>
      <rgbColor rgb="FF969696"/>
      <rgbColor rgb="FF1A3A5C"/>
      <rgbColor rgb="FF27AE60"/>
      <rgbColor rgb="FF003300"/>
      <rgbColor rgb="FF333300"/>
      <rgbColor rgb="FF993300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GPA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Summary!$B$9</c:f>
              <c:strCache>
                <c:ptCount val="1"/>
                <c:pt idx="0">
                  <c:v>Avg GPA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5B9BD5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4407-4E3B-9DBC-DF09865BE1F8}"/>
              </c:ext>
            </c:extLst>
          </c:dPt>
          <c:dPt>
            <c:idx val="1"/>
            <c:invertIfNegative val="0"/>
            <c:bubble3D val="0"/>
            <c:spPr>
              <a:solidFill>
                <a:srgbClr val="ED7D3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4407-4E3B-9DBC-DF09865BE1F8}"/>
              </c:ext>
            </c:extLst>
          </c:dPt>
          <c:dPt>
            <c:idx val="2"/>
            <c:invertIfNegative val="0"/>
            <c:bubble3D val="0"/>
            <c:spPr>
              <a:solidFill>
                <a:srgbClr val="A9D18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4407-4E3B-9DBC-DF09865BE1F8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4407-4E3B-9DBC-DF09865BE1F8}"/>
              </c:ext>
            </c:extLst>
          </c:dPt>
          <c:dPt>
            <c:idx val="4"/>
            <c:invertIfNegative val="0"/>
            <c:bubble3D val="0"/>
            <c:spPr>
              <a:solidFill>
                <a:srgbClr val="FF6B6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4407-4E3B-9DBC-DF09865BE1F8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4407-4E3B-9DBC-DF09865BE1F8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4407-4E3B-9DBC-DF09865BE1F8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4407-4E3B-9DBC-DF09865BE1F8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4407-4E3B-9DBC-DF09865BE1F8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4407-4E3B-9DBC-DF09865BE1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Summary!$A$10:$A$14</c:f>
              <c:strCache>
                <c:ptCount val="5"/>
                <c:pt idx="0">
                  <c:v>Arts</c:v>
                </c:pt>
                <c:pt idx="1">
                  <c:v>Commerce</c:v>
                </c:pt>
                <c:pt idx="2">
                  <c:v>Computer Science</c:v>
                </c:pt>
                <c:pt idx="3">
                  <c:v>Electronics</c:v>
                </c:pt>
                <c:pt idx="4">
                  <c:v>Mechanical</c:v>
                </c:pt>
              </c:strCache>
            </c:strRef>
          </c:cat>
          <c:val>
            <c:numRef>
              <c:f>Summary!$B$10:$B$14</c:f>
              <c:numCache>
                <c:formatCode>0.00</c:formatCode>
                <c:ptCount val="5"/>
                <c:pt idx="0">
                  <c:v>7.2399999999999984</c:v>
                </c:pt>
                <c:pt idx="1">
                  <c:v>7.1744999999999992</c:v>
                </c:pt>
                <c:pt idx="2">
                  <c:v>7.1015555555555592</c:v>
                </c:pt>
                <c:pt idx="3">
                  <c:v>7.1162857142857137</c:v>
                </c:pt>
                <c:pt idx="4">
                  <c:v>7.0586111111111114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407-4E3B-9DBC-DF09865BE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948061"/>
        <c:axId val="45697811"/>
      </c:barChart>
      <c:catAx>
        <c:axId val="849480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697811"/>
        <c:crosses val="autoZero"/>
        <c:auto val="1"/>
        <c:lblAlgn val="ctr"/>
        <c:lblOffset val="100"/>
        <c:noMultiLvlLbl val="0"/>
      </c:catAx>
      <c:valAx>
        <c:axId val="45697811"/>
        <c:scaling>
          <c:orientation val="minMax"/>
          <c:min val="6.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GPA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9480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Semester GPA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Summary!$F$2</c:f>
              <c:strCache>
                <c:ptCount val="1"/>
                <c:pt idx="0">
                  <c:v>Avg GPA</c:v>
                </c:pt>
              </c:strCache>
            </c:strRef>
          </c:tx>
          <c:spPr>
            <a:ln w="24840">
              <a:solidFill>
                <a:srgbClr val="0D737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Summary!$E$3:$E$10</c:f>
              <c:strCache>
                <c:ptCount val="8"/>
                <c:pt idx="0">
                  <c:v>Semester 1</c:v>
                </c:pt>
                <c:pt idx="1">
                  <c:v>Semester 2</c:v>
                </c:pt>
                <c:pt idx="2">
                  <c:v>Semester 3</c:v>
                </c:pt>
                <c:pt idx="3">
                  <c:v>Semester 4</c:v>
                </c:pt>
                <c:pt idx="4">
                  <c:v>Semester 5</c:v>
                </c:pt>
                <c:pt idx="5">
                  <c:v>Semester 6</c:v>
                </c:pt>
                <c:pt idx="6">
                  <c:v>Semester 7</c:v>
                </c:pt>
                <c:pt idx="7">
                  <c:v>Semester 8</c:v>
                </c:pt>
              </c:strCache>
            </c:strRef>
          </c:cat>
          <c:val>
            <c:numRef>
              <c:f>Summary!$F$3:$F$10</c:f>
              <c:numCache>
                <c:formatCode>0.00</c:formatCode>
                <c:ptCount val="8"/>
                <c:pt idx="0">
                  <c:v>7.1774074074074061</c:v>
                </c:pt>
                <c:pt idx="1">
                  <c:v>7.1891304347826068</c:v>
                </c:pt>
                <c:pt idx="2">
                  <c:v>7.0385185185185195</c:v>
                </c:pt>
                <c:pt idx="3">
                  <c:v>6.9253571428571403</c:v>
                </c:pt>
                <c:pt idx="4">
                  <c:v>7.2552941176470593</c:v>
                </c:pt>
                <c:pt idx="5">
                  <c:v>7.383181818181817</c:v>
                </c:pt>
                <c:pt idx="6">
                  <c:v>7.1262499999999998</c:v>
                </c:pt>
                <c:pt idx="7">
                  <c:v>7.0039999999999996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227-4948-9CDC-F9041158F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7514096"/>
        <c:axId val="91742186"/>
      </c:lineChart>
      <c:catAx>
        <c:axId val="675140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Semester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742186"/>
        <c:crosses val="autoZero"/>
        <c:auto val="1"/>
        <c:lblAlgn val="ctr"/>
        <c:lblOffset val="100"/>
        <c:noMultiLvlLbl val="0"/>
      </c:catAx>
      <c:valAx>
        <c:axId val="91742186"/>
        <c:scaling>
          <c:orientation val="minMax"/>
          <c:min val="6.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GPA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5140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Students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Summary!$C$9</c:f>
              <c:strCache>
                <c:ptCount val="1"/>
                <c:pt idx="0">
                  <c:v>Student 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5B9BD5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32E2-44F2-972D-4AA3EE0111F5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32E2-44F2-972D-4AA3EE0111F5}"/>
              </c:ext>
            </c:extLst>
          </c:dPt>
          <c:dPt>
            <c:idx val="2"/>
            <c:bubble3D val="0"/>
            <c:spPr>
              <a:solidFill>
                <a:srgbClr val="A9D18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32E2-44F2-972D-4AA3EE0111F5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32E2-44F2-972D-4AA3EE0111F5}"/>
              </c:ext>
            </c:extLst>
          </c:dPt>
          <c:dPt>
            <c:idx val="4"/>
            <c:bubble3D val="0"/>
            <c:spPr>
              <a:solidFill>
                <a:srgbClr val="FF6B6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32E2-44F2-972D-4AA3EE0111F5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32E2-44F2-972D-4AA3EE0111F5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32E2-44F2-972D-4AA3EE0111F5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32E2-44F2-972D-4AA3EE0111F5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32E2-44F2-972D-4AA3EE0111F5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32E2-44F2-972D-4AA3EE0111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Summary!$A$10:$A$14</c:f>
              <c:strCache>
                <c:ptCount val="5"/>
                <c:pt idx="0">
                  <c:v>Arts</c:v>
                </c:pt>
                <c:pt idx="1">
                  <c:v>Commerce</c:v>
                </c:pt>
                <c:pt idx="2">
                  <c:v>Computer Science</c:v>
                </c:pt>
                <c:pt idx="3">
                  <c:v>Electronics</c:v>
                </c:pt>
                <c:pt idx="4">
                  <c:v>Mechanical</c:v>
                </c:pt>
              </c:strCache>
            </c:strRef>
          </c:cat>
          <c:val>
            <c:numRef>
              <c:f>Summary!$C$10:$C$14</c:f>
              <c:numCache>
                <c:formatCode>#,##0</c:formatCode>
                <c:ptCount val="5"/>
                <c:pt idx="0">
                  <c:v>44</c:v>
                </c:pt>
                <c:pt idx="1">
                  <c:v>40</c:v>
                </c:pt>
                <c:pt idx="2">
                  <c:v>45</c:v>
                </c:pt>
                <c:pt idx="3">
                  <c:v>35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2E2-44F2-972D-4AA3EE011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GPA by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Summary!$F$13</c:f>
              <c:strCache>
                <c:ptCount val="1"/>
                <c:pt idx="0">
                  <c:v>Avg GPA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D3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C5B0-4FEC-A5B7-3BF156A5158D}"/>
              </c:ext>
            </c:extLst>
          </c:dPt>
          <c:dPt>
            <c:idx val="1"/>
            <c:invertIfNegative val="0"/>
            <c:bubble3D val="0"/>
            <c:spPr>
              <a:solidFill>
                <a:srgbClr val="5B9BD5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C5B0-4FEC-A5B7-3BF156A5158D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C5B0-4FEC-A5B7-3BF156A5158D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C5B0-4FEC-A5B7-3BF156A515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Summary!$E$14:$E$15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Summary!$F$14:$F$15</c:f>
              <c:numCache>
                <c:formatCode>0.00</c:formatCode>
                <c:ptCount val="2"/>
                <c:pt idx="0">
                  <c:v>7.035151515151516</c:v>
                </c:pt>
                <c:pt idx="1">
                  <c:v>7.2456435643564374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B0-4FEC-A5B7-3BF156A51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213628"/>
        <c:axId val="34051437"/>
      </c:barChart>
      <c:catAx>
        <c:axId val="7421362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GPA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051437"/>
        <c:crosses val="autoZero"/>
        <c:auto val="1"/>
        <c:lblAlgn val="ctr"/>
        <c:lblOffset val="100"/>
        <c:noMultiLvlLbl val="0"/>
      </c:catAx>
      <c:valAx>
        <c:axId val="3405143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Gender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2136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Attendance vs GPA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273383261537384"/>
          <c:y val="2.4925386574729206E-2"/>
          <c:w val="0.6716034399291626"/>
          <c:h val="0.89317480124527238"/>
        </c:manualLayout>
      </c:layout>
      <c:scatterChart>
        <c:scatterStyle val="lineMarker"/>
        <c:varyColors val="0"/>
        <c:ser>
          <c:idx val="0"/>
          <c:order val="0"/>
          <c:tx>
            <c:v>Students</c:v>
          </c:tx>
          <c:spPr>
            <a:ln w="47520">
              <a:noFill/>
            </a:ln>
          </c:spPr>
          <c:marker>
            <c:symbol val="circle"/>
            <c:size val="4"/>
            <c:spPr>
              <a:solidFill>
                <a:srgbClr val="0D737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trendlineType val="linear"/>
            <c:dispRSqr val="0"/>
            <c:dispEq val="0"/>
          </c:trendline>
          <c:xVal>
            <c:numRef>
              <c:f>Summary!$I$2:$I$201</c:f>
              <c:numCache>
                <c:formatCode>General</c:formatCode>
                <c:ptCount val="200"/>
                <c:pt idx="0">
                  <c:v>77</c:v>
                </c:pt>
                <c:pt idx="1">
                  <c:v>66</c:v>
                </c:pt>
                <c:pt idx="2">
                  <c:v>89</c:v>
                </c:pt>
                <c:pt idx="3">
                  <c:v>94</c:v>
                </c:pt>
                <c:pt idx="4">
                  <c:v>88</c:v>
                </c:pt>
                <c:pt idx="5">
                  <c:v>93</c:v>
                </c:pt>
                <c:pt idx="6">
                  <c:v>65</c:v>
                </c:pt>
                <c:pt idx="7">
                  <c:v>70</c:v>
                </c:pt>
                <c:pt idx="8">
                  <c:v>67</c:v>
                </c:pt>
                <c:pt idx="9">
                  <c:v>62</c:v>
                </c:pt>
                <c:pt idx="10">
                  <c:v>86</c:v>
                </c:pt>
                <c:pt idx="11">
                  <c:v>100</c:v>
                </c:pt>
                <c:pt idx="12">
                  <c:v>69</c:v>
                </c:pt>
                <c:pt idx="13">
                  <c:v>70</c:v>
                </c:pt>
                <c:pt idx="14">
                  <c:v>61</c:v>
                </c:pt>
                <c:pt idx="15">
                  <c:v>96</c:v>
                </c:pt>
                <c:pt idx="16">
                  <c:v>94</c:v>
                </c:pt>
                <c:pt idx="17">
                  <c:v>80</c:v>
                </c:pt>
                <c:pt idx="18">
                  <c:v>88</c:v>
                </c:pt>
                <c:pt idx="19">
                  <c:v>98</c:v>
                </c:pt>
                <c:pt idx="20">
                  <c:v>65</c:v>
                </c:pt>
                <c:pt idx="21">
                  <c:v>86</c:v>
                </c:pt>
                <c:pt idx="22">
                  <c:v>88</c:v>
                </c:pt>
                <c:pt idx="23">
                  <c:v>97</c:v>
                </c:pt>
                <c:pt idx="24">
                  <c:v>100</c:v>
                </c:pt>
                <c:pt idx="25">
                  <c:v>75</c:v>
                </c:pt>
                <c:pt idx="26">
                  <c:v>78</c:v>
                </c:pt>
                <c:pt idx="27">
                  <c:v>89</c:v>
                </c:pt>
                <c:pt idx="28">
                  <c:v>88</c:v>
                </c:pt>
                <c:pt idx="29">
                  <c:v>76</c:v>
                </c:pt>
                <c:pt idx="30">
                  <c:v>92</c:v>
                </c:pt>
                <c:pt idx="31">
                  <c:v>82</c:v>
                </c:pt>
                <c:pt idx="32">
                  <c:v>78</c:v>
                </c:pt>
                <c:pt idx="33">
                  <c:v>83</c:v>
                </c:pt>
                <c:pt idx="34">
                  <c:v>74</c:v>
                </c:pt>
                <c:pt idx="35">
                  <c:v>90</c:v>
                </c:pt>
                <c:pt idx="36">
                  <c:v>84</c:v>
                </c:pt>
                <c:pt idx="37">
                  <c:v>60</c:v>
                </c:pt>
                <c:pt idx="38">
                  <c:v>85</c:v>
                </c:pt>
                <c:pt idx="39">
                  <c:v>64</c:v>
                </c:pt>
                <c:pt idx="40">
                  <c:v>72</c:v>
                </c:pt>
                <c:pt idx="41">
                  <c:v>66</c:v>
                </c:pt>
                <c:pt idx="42">
                  <c:v>83</c:v>
                </c:pt>
                <c:pt idx="43">
                  <c:v>75</c:v>
                </c:pt>
                <c:pt idx="44">
                  <c:v>72</c:v>
                </c:pt>
                <c:pt idx="45">
                  <c:v>70</c:v>
                </c:pt>
                <c:pt idx="46">
                  <c:v>99</c:v>
                </c:pt>
                <c:pt idx="47">
                  <c:v>78</c:v>
                </c:pt>
                <c:pt idx="48">
                  <c:v>62</c:v>
                </c:pt>
                <c:pt idx="49">
                  <c:v>69</c:v>
                </c:pt>
                <c:pt idx="50">
                  <c:v>86</c:v>
                </c:pt>
                <c:pt idx="51">
                  <c:v>81</c:v>
                </c:pt>
                <c:pt idx="52">
                  <c:v>79</c:v>
                </c:pt>
                <c:pt idx="53">
                  <c:v>72</c:v>
                </c:pt>
                <c:pt idx="54">
                  <c:v>66</c:v>
                </c:pt>
                <c:pt idx="55">
                  <c:v>70</c:v>
                </c:pt>
                <c:pt idx="56">
                  <c:v>100</c:v>
                </c:pt>
                <c:pt idx="57">
                  <c:v>73</c:v>
                </c:pt>
                <c:pt idx="58">
                  <c:v>97</c:v>
                </c:pt>
                <c:pt idx="59">
                  <c:v>81</c:v>
                </c:pt>
                <c:pt idx="60">
                  <c:v>75</c:v>
                </c:pt>
                <c:pt idx="61">
                  <c:v>97</c:v>
                </c:pt>
                <c:pt idx="62">
                  <c:v>60</c:v>
                </c:pt>
                <c:pt idx="63">
                  <c:v>95</c:v>
                </c:pt>
                <c:pt idx="64">
                  <c:v>65</c:v>
                </c:pt>
                <c:pt idx="65">
                  <c:v>71</c:v>
                </c:pt>
                <c:pt idx="66">
                  <c:v>62</c:v>
                </c:pt>
                <c:pt idx="67">
                  <c:v>88</c:v>
                </c:pt>
                <c:pt idx="68">
                  <c:v>90</c:v>
                </c:pt>
                <c:pt idx="69">
                  <c:v>100</c:v>
                </c:pt>
                <c:pt idx="70">
                  <c:v>69</c:v>
                </c:pt>
                <c:pt idx="71">
                  <c:v>79</c:v>
                </c:pt>
                <c:pt idx="72">
                  <c:v>92</c:v>
                </c:pt>
                <c:pt idx="73">
                  <c:v>61</c:v>
                </c:pt>
                <c:pt idx="74">
                  <c:v>80</c:v>
                </c:pt>
                <c:pt idx="75">
                  <c:v>89</c:v>
                </c:pt>
                <c:pt idx="76">
                  <c:v>86</c:v>
                </c:pt>
                <c:pt idx="77">
                  <c:v>72</c:v>
                </c:pt>
                <c:pt idx="78">
                  <c:v>65</c:v>
                </c:pt>
                <c:pt idx="79">
                  <c:v>64</c:v>
                </c:pt>
                <c:pt idx="80">
                  <c:v>91</c:v>
                </c:pt>
                <c:pt idx="81">
                  <c:v>96</c:v>
                </c:pt>
                <c:pt idx="82">
                  <c:v>79</c:v>
                </c:pt>
                <c:pt idx="83">
                  <c:v>84</c:v>
                </c:pt>
                <c:pt idx="84">
                  <c:v>81</c:v>
                </c:pt>
                <c:pt idx="85">
                  <c:v>98</c:v>
                </c:pt>
                <c:pt idx="86">
                  <c:v>75</c:v>
                </c:pt>
                <c:pt idx="87">
                  <c:v>74</c:v>
                </c:pt>
                <c:pt idx="88">
                  <c:v>70</c:v>
                </c:pt>
                <c:pt idx="89">
                  <c:v>81</c:v>
                </c:pt>
                <c:pt idx="90">
                  <c:v>69</c:v>
                </c:pt>
                <c:pt idx="91">
                  <c:v>65</c:v>
                </c:pt>
                <c:pt idx="92">
                  <c:v>82</c:v>
                </c:pt>
                <c:pt idx="93">
                  <c:v>71</c:v>
                </c:pt>
                <c:pt idx="94">
                  <c:v>64</c:v>
                </c:pt>
                <c:pt idx="95">
                  <c:v>78</c:v>
                </c:pt>
                <c:pt idx="96">
                  <c:v>89</c:v>
                </c:pt>
                <c:pt idx="97">
                  <c:v>77</c:v>
                </c:pt>
                <c:pt idx="98">
                  <c:v>75</c:v>
                </c:pt>
                <c:pt idx="99">
                  <c:v>75</c:v>
                </c:pt>
                <c:pt idx="100">
                  <c:v>63</c:v>
                </c:pt>
                <c:pt idx="101">
                  <c:v>99</c:v>
                </c:pt>
                <c:pt idx="102">
                  <c:v>80</c:v>
                </c:pt>
                <c:pt idx="103">
                  <c:v>78</c:v>
                </c:pt>
                <c:pt idx="104">
                  <c:v>76</c:v>
                </c:pt>
                <c:pt idx="105">
                  <c:v>99</c:v>
                </c:pt>
                <c:pt idx="106">
                  <c:v>78</c:v>
                </c:pt>
                <c:pt idx="107">
                  <c:v>91</c:v>
                </c:pt>
                <c:pt idx="108">
                  <c:v>100</c:v>
                </c:pt>
                <c:pt idx="109">
                  <c:v>65</c:v>
                </c:pt>
                <c:pt idx="110">
                  <c:v>69</c:v>
                </c:pt>
                <c:pt idx="111">
                  <c:v>83</c:v>
                </c:pt>
                <c:pt idx="112">
                  <c:v>93</c:v>
                </c:pt>
                <c:pt idx="113">
                  <c:v>97</c:v>
                </c:pt>
                <c:pt idx="114">
                  <c:v>68</c:v>
                </c:pt>
                <c:pt idx="115">
                  <c:v>78</c:v>
                </c:pt>
                <c:pt idx="116">
                  <c:v>79</c:v>
                </c:pt>
                <c:pt idx="117">
                  <c:v>86</c:v>
                </c:pt>
                <c:pt idx="118">
                  <c:v>60</c:v>
                </c:pt>
                <c:pt idx="119">
                  <c:v>94</c:v>
                </c:pt>
                <c:pt idx="120">
                  <c:v>76</c:v>
                </c:pt>
                <c:pt idx="121">
                  <c:v>89</c:v>
                </c:pt>
                <c:pt idx="122">
                  <c:v>81</c:v>
                </c:pt>
                <c:pt idx="123">
                  <c:v>92</c:v>
                </c:pt>
                <c:pt idx="124">
                  <c:v>65</c:v>
                </c:pt>
                <c:pt idx="125">
                  <c:v>90</c:v>
                </c:pt>
                <c:pt idx="126">
                  <c:v>84</c:v>
                </c:pt>
                <c:pt idx="127">
                  <c:v>87</c:v>
                </c:pt>
                <c:pt idx="128">
                  <c:v>79</c:v>
                </c:pt>
                <c:pt idx="129">
                  <c:v>85</c:v>
                </c:pt>
                <c:pt idx="130">
                  <c:v>74</c:v>
                </c:pt>
                <c:pt idx="131">
                  <c:v>88</c:v>
                </c:pt>
                <c:pt idx="132">
                  <c:v>89</c:v>
                </c:pt>
                <c:pt idx="133">
                  <c:v>60</c:v>
                </c:pt>
                <c:pt idx="134">
                  <c:v>65</c:v>
                </c:pt>
                <c:pt idx="135">
                  <c:v>86</c:v>
                </c:pt>
                <c:pt idx="136">
                  <c:v>80</c:v>
                </c:pt>
                <c:pt idx="137">
                  <c:v>60</c:v>
                </c:pt>
                <c:pt idx="138">
                  <c:v>61</c:v>
                </c:pt>
                <c:pt idx="139">
                  <c:v>98</c:v>
                </c:pt>
                <c:pt idx="140">
                  <c:v>91</c:v>
                </c:pt>
                <c:pt idx="141">
                  <c:v>66</c:v>
                </c:pt>
                <c:pt idx="142">
                  <c:v>69</c:v>
                </c:pt>
                <c:pt idx="143">
                  <c:v>91</c:v>
                </c:pt>
                <c:pt idx="144">
                  <c:v>86</c:v>
                </c:pt>
                <c:pt idx="145">
                  <c:v>62</c:v>
                </c:pt>
                <c:pt idx="146">
                  <c:v>91</c:v>
                </c:pt>
                <c:pt idx="147">
                  <c:v>72</c:v>
                </c:pt>
                <c:pt idx="148">
                  <c:v>90</c:v>
                </c:pt>
                <c:pt idx="149">
                  <c:v>84</c:v>
                </c:pt>
                <c:pt idx="150">
                  <c:v>68</c:v>
                </c:pt>
                <c:pt idx="151">
                  <c:v>87</c:v>
                </c:pt>
                <c:pt idx="152">
                  <c:v>92</c:v>
                </c:pt>
                <c:pt idx="153">
                  <c:v>94</c:v>
                </c:pt>
                <c:pt idx="154">
                  <c:v>99</c:v>
                </c:pt>
                <c:pt idx="155">
                  <c:v>78</c:v>
                </c:pt>
                <c:pt idx="156">
                  <c:v>93</c:v>
                </c:pt>
                <c:pt idx="157">
                  <c:v>98</c:v>
                </c:pt>
                <c:pt idx="158">
                  <c:v>67</c:v>
                </c:pt>
                <c:pt idx="159">
                  <c:v>76</c:v>
                </c:pt>
                <c:pt idx="160">
                  <c:v>73</c:v>
                </c:pt>
                <c:pt idx="161">
                  <c:v>80</c:v>
                </c:pt>
                <c:pt idx="162">
                  <c:v>75</c:v>
                </c:pt>
                <c:pt idx="163">
                  <c:v>85</c:v>
                </c:pt>
                <c:pt idx="164">
                  <c:v>76</c:v>
                </c:pt>
                <c:pt idx="165">
                  <c:v>95</c:v>
                </c:pt>
                <c:pt idx="166">
                  <c:v>94</c:v>
                </c:pt>
                <c:pt idx="167">
                  <c:v>100</c:v>
                </c:pt>
                <c:pt idx="168">
                  <c:v>77</c:v>
                </c:pt>
                <c:pt idx="169">
                  <c:v>97</c:v>
                </c:pt>
                <c:pt idx="170">
                  <c:v>75</c:v>
                </c:pt>
                <c:pt idx="171">
                  <c:v>72</c:v>
                </c:pt>
                <c:pt idx="172">
                  <c:v>83</c:v>
                </c:pt>
                <c:pt idx="173">
                  <c:v>98</c:v>
                </c:pt>
                <c:pt idx="174">
                  <c:v>67</c:v>
                </c:pt>
                <c:pt idx="175">
                  <c:v>77</c:v>
                </c:pt>
                <c:pt idx="176">
                  <c:v>80</c:v>
                </c:pt>
                <c:pt idx="177">
                  <c:v>60</c:v>
                </c:pt>
                <c:pt idx="178">
                  <c:v>61</c:v>
                </c:pt>
                <c:pt idx="179">
                  <c:v>87</c:v>
                </c:pt>
                <c:pt idx="180">
                  <c:v>90</c:v>
                </c:pt>
                <c:pt idx="181">
                  <c:v>70</c:v>
                </c:pt>
                <c:pt idx="182">
                  <c:v>96</c:v>
                </c:pt>
                <c:pt idx="183">
                  <c:v>90</c:v>
                </c:pt>
                <c:pt idx="184">
                  <c:v>92</c:v>
                </c:pt>
                <c:pt idx="185">
                  <c:v>87</c:v>
                </c:pt>
                <c:pt idx="186">
                  <c:v>67</c:v>
                </c:pt>
                <c:pt idx="187">
                  <c:v>90</c:v>
                </c:pt>
                <c:pt idx="188">
                  <c:v>72</c:v>
                </c:pt>
                <c:pt idx="189">
                  <c:v>81</c:v>
                </c:pt>
                <c:pt idx="190">
                  <c:v>97</c:v>
                </c:pt>
                <c:pt idx="191">
                  <c:v>70</c:v>
                </c:pt>
                <c:pt idx="192">
                  <c:v>92</c:v>
                </c:pt>
                <c:pt idx="193">
                  <c:v>84</c:v>
                </c:pt>
                <c:pt idx="194">
                  <c:v>66</c:v>
                </c:pt>
                <c:pt idx="195">
                  <c:v>86</c:v>
                </c:pt>
                <c:pt idx="196">
                  <c:v>65</c:v>
                </c:pt>
                <c:pt idx="197">
                  <c:v>94</c:v>
                </c:pt>
                <c:pt idx="198">
                  <c:v>79</c:v>
                </c:pt>
                <c:pt idx="199">
                  <c:v>82</c:v>
                </c:pt>
              </c:numCache>
            </c:numRef>
          </c:xVal>
          <c:yVal>
            <c:numRef>
              <c:f>Summary!$J$2:$J$201</c:f>
              <c:numCache>
                <c:formatCode>General</c:formatCode>
                <c:ptCount val="200"/>
                <c:pt idx="0">
                  <c:v>6</c:v>
                </c:pt>
                <c:pt idx="1">
                  <c:v>8.07</c:v>
                </c:pt>
                <c:pt idx="2">
                  <c:v>7.23</c:v>
                </c:pt>
                <c:pt idx="3">
                  <c:v>7.67</c:v>
                </c:pt>
                <c:pt idx="4">
                  <c:v>5.97</c:v>
                </c:pt>
                <c:pt idx="5">
                  <c:v>7.13</c:v>
                </c:pt>
                <c:pt idx="6">
                  <c:v>8.17</c:v>
                </c:pt>
                <c:pt idx="7">
                  <c:v>7.5</c:v>
                </c:pt>
                <c:pt idx="8">
                  <c:v>6.3</c:v>
                </c:pt>
                <c:pt idx="9">
                  <c:v>8</c:v>
                </c:pt>
                <c:pt idx="10">
                  <c:v>8.73</c:v>
                </c:pt>
                <c:pt idx="11">
                  <c:v>8.43</c:v>
                </c:pt>
                <c:pt idx="12">
                  <c:v>7.77</c:v>
                </c:pt>
                <c:pt idx="13">
                  <c:v>5</c:v>
                </c:pt>
                <c:pt idx="14">
                  <c:v>6.43</c:v>
                </c:pt>
                <c:pt idx="15">
                  <c:v>8.43</c:v>
                </c:pt>
                <c:pt idx="16">
                  <c:v>6.93</c:v>
                </c:pt>
                <c:pt idx="17">
                  <c:v>5.6</c:v>
                </c:pt>
                <c:pt idx="18">
                  <c:v>7.27</c:v>
                </c:pt>
                <c:pt idx="19">
                  <c:v>8.8000000000000007</c:v>
                </c:pt>
                <c:pt idx="20">
                  <c:v>5.93</c:v>
                </c:pt>
                <c:pt idx="21">
                  <c:v>5.7</c:v>
                </c:pt>
                <c:pt idx="22">
                  <c:v>8.1</c:v>
                </c:pt>
                <c:pt idx="23">
                  <c:v>7.83</c:v>
                </c:pt>
                <c:pt idx="24">
                  <c:v>8.27</c:v>
                </c:pt>
                <c:pt idx="25">
                  <c:v>6</c:v>
                </c:pt>
                <c:pt idx="26">
                  <c:v>7</c:v>
                </c:pt>
                <c:pt idx="27">
                  <c:v>6.7</c:v>
                </c:pt>
                <c:pt idx="28">
                  <c:v>6.9</c:v>
                </c:pt>
                <c:pt idx="29">
                  <c:v>6.6</c:v>
                </c:pt>
                <c:pt idx="30">
                  <c:v>7.03</c:v>
                </c:pt>
                <c:pt idx="31">
                  <c:v>7.8</c:v>
                </c:pt>
                <c:pt idx="32">
                  <c:v>7.37</c:v>
                </c:pt>
                <c:pt idx="33">
                  <c:v>6.13</c:v>
                </c:pt>
                <c:pt idx="34">
                  <c:v>6.23</c:v>
                </c:pt>
                <c:pt idx="35">
                  <c:v>9.43</c:v>
                </c:pt>
                <c:pt idx="36">
                  <c:v>5.77</c:v>
                </c:pt>
                <c:pt idx="37">
                  <c:v>8.0299999999999994</c:v>
                </c:pt>
                <c:pt idx="38">
                  <c:v>8.17</c:v>
                </c:pt>
                <c:pt idx="39">
                  <c:v>7.9</c:v>
                </c:pt>
                <c:pt idx="40">
                  <c:v>8</c:v>
                </c:pt>
                <c:pt idx="41">
                  <c:v>8.27</c:v>
                </c:pt>
                <c:pt idx="42">
                  <c:v>7.73</c:v>
                </c:pt>
                <c:pt idx="43">
                  <c:v>6.47</c:v>
                </c:pt>
                <c:pt idx="44">
                  <c:v>6.47</c:v>
                </c:pt>
                <c:pt idx="45">
                  <c:v>7.43</c:v>
                </c:pt>
                <c:pt idx="46">
                  <c:v>7.1</c:v>
                </c:pt>
                <c:pt idx="47">
                  <c:v>7.47</c:v>
                </c:pt>
                <c:pt idx="48">
                  <c:v>7.5</c:v>
                </c:pt>
                <c:pt idx="49">
                  <c:v>8.67</c:v>
                </c:pt>
                <c:pt idx="50">
                  <c:v>6.17</c:v>
                </c:pt>
                <c:pt idx="51">
                  <c:v>6.43</c:v>
                </c:pt>
                <c:pt idx="52">
                  <c:v>8.77</c:v>
                </c:pt>
                <c:pt idx="53">
                  <c:v>6.6</c:v>
                </c:pt>
                <c:pt idx="54">
                  <c:v>7.7</c:v>
                </c:pt>
                <c:pt idx="55">
                  <c:v>6.4</c:v>
                </c:pt>
                <c:pt idx="56">
                  <c:v>6.57</c:v>
                </c:pt>
                <c:pt idx="57">
                  <c:v>8.1</c:v>
                </c:pt>
                <c:pt idx="58">
                  <c:v>7.9</c:v>
                </c:pt>
                <c:pt idx="59">
                  <c:v>6.1</c:v>
                </c:pt>
                <c:pt idx="60">
                  <c:v>6.93</c:v>
                </c:pt>
                <c:pt idx="61">
                  <c:v>8.67</c:v>
                </c:pt>
                <c:pt idx="62">
                  <c:v>5.87</c:v>
                </c:pt>
                <c:pt idx="63">
                  <c:v>7.13</c:v>
                </c:pt>
                <c:pt idx="64">
                  <c:v>7.97</c:v>
                </c:pt>
                <c:pt idx="65">
                  <c:v>5.6</c:v>
                </c:pt>
                <c:pt idx="66">
                  <c:v>7.83</c:v>
                </c:pt>
                <c:pt idx="67">
                  <c:v>7.33</c:v>
                </c:pt>
                <c:pt idx="68">
                  <c:v>6.07</c:v>
                </c:pt>
                <c:pt idx="69">
                  <c:v>8.1</c:v>
                </c:pt>
                <c:pt idx="70">
                  <c:v>8.3699999999999992</c:v>
                </c:pt>
                <c:pt idx="71">
                  <c:v>7.83</c:v>
                </c:pt>
                <c:pt idx="72">
                  <c:v>7.3</c:v>
                </c:pt>
                <c:pt idx="73">
                  <c:v>7.03</c:v>
                </c:pt>
                <c:pt idx="74">
                  <c:v>7.5</c:v>
                </c:pt>
                <c:pt idx="75">
                  <c:v>7.47</c:v>
                </c:pt>
                <c:pt idx="76">
                  <c:v>9.3000000000000007</c:v>
                </c:pt>
                <c:pt idx="77">
                  <c:v>6.67</c:v>
                </c:pt>
                <c:pt idx="78">
                  <c:v>6.27</c:v>
                </c:pt>
                <c:pt idx="79">
                  <c:v>6.33</c:v>
                </c:pt>
                <c:pt idx="80">
                  <c:v>8.73</c:v>
                </c:pt>
                <c:pt idx="81">
                  <c:v>5.5</c:v>
                </c:pt>
                <c:pt idx="82">
                  <c:v>6.07</c:v>
                </c:pt>
                <c:pt idx="83">
                  <c:v>6.1</c:v>
                </c:pt>
                <c:pt idx="84">
                  <c:v>6.97</c:v>
                </c:pt>
                <c:pt idx="85">
                  <c:v>6.23</c:v>
                </c:pt>
                <c:pt idx="86">
                  <c:v>7.17</c:v>
                </c:pt>
                <c:pt idx="87">
                  <c:v>7.47</c:v>
                </c:pt>
                <c:pt idx="88">
                  <c:v>7.27</c:v>
                </c:pt>
                <c:pt idx="89">
                  <c:v>9.1</c:v>
                </c:pt>
                <c:pt idx="90">
                  <c:v>5.27</c:v>
                </c:pt>
                <c:pt idx="91">
                  <c:v>9.1</c:v>
                </c:pt>
                <c:pt idx="92">
                  <c:v>5.53</c:v>
                </c:pt>
                <c:pt idx="93">
                  <c:v>5.8</c:v>
                </c:pt>
                <c:pt idx="94">
                  <c:v>7.03</c:v>
                </c:pt>
                <c:pt idx="95">
                  <c:v>6.1</c:v>
                </c:pt>
                <c:pt idx="96">
                  <c:v>6.43</c:v>
                </c:pt>
                <c:pt idx="97">
                  <c:v>7.07</c:v>
                </c:pt>
                <c:pt idx="98">
                  <c:v>6.63</c:v>
                </c:pt>
                <c:pt idx="99">
                  <c:v>8.73</c:v>
                </c:pt>
                <c:pt idx="100">
                  <c:v>6.93</c:v>
                </c:pt>
                <c:pt idx="101">
                  <c:v>7.67</c:v>
                </c:pt>
                <c:pt idx="102">
                  <c:v>8.9700000000000006</c:v>
                </c:pt>
                <c:pt idx="103">
                  <c:v>6.77</c:v>
                </c:pt>
                <c:pt idx="104">
                  <c:v>7.9</c:v>
                </c:pt>
                <c:pt idx="105">
                  <c:v>7.3</c:v>
                </c:pt>
                <c:pt idx="106">
                  <c:v>8.6999999999999993</c:v>
                </c:pt>
                <c:pt idx="107">
                  <c:v>6.5</c:v>
                </c:pt>
                <c:pt idx="108">
                  <c:v>6.8</c:v>
                </c:pt>
                <c:pt idx="109">
                  <c:v>5.83</c:v>
                </c:pt>
                <c:pt idx="110">
                  <c:v>7.6</c:v>
                </c:pt>
                <c:pt idx="111">
                  <c:v>6.73</c:v>
                </c:pt>
                <c:pt idx="112">
                  <c:v>8</c:v>
                </c:pt>
                <c:pt idx="113">
                  <c:v>7.8</c:v>
                </c:pt>
                <c:pt idx="114">
                  <c:v>8.73</c:v>
                </c:pt>
                <c:pt idx="115">
                  <c:v>6.2</c:v>
                </c:pt>
                <c:pt idx="116">
                  <c:v>7.87</c:v>
                </c:pt>
                <c:pt idx="117">
                  <c:v>7.4</c:v>
                </c:pt>
                <c:pt idx="118">
                  <c:v>7.33</c:v>
                </c:pt>
                <c:pt idx="119">
                  <c:v>6.53</c:v>
                </c:pt>
                <c:pt idx="120">
                  <c:v>5.37</c:v>
                </c:pt>
                <c:pt idx="121">
                  <c:v>6.7</c:v>
                </c:pt>
                <c:pt idx="122">
                  <c:v>5.97</c:v>
                </c:pt>
                <c:pt idx="123">
                  <c:v>6.9</c:v>
                </c:pt>
                <c:pt idx="124">
                  <c:v>7.57</c:v>
                </c:pt>
                <c:pt idx="125">
                  <c:v>7.03</c:v>
                </c:pt>
                <c:pt idx="126">
                  <c:v>5.83</c:v>
                </c:pt>
                <c:pt idx="127">
                  <c:v>7.23</c:v>
                </c:pt>
                <c:pt idx="128">
                  <c:v>7.83</c:v>
                </c:pt>
                <c:pt idx="129">
                  <c:v>6.33</c:v>
                </c:pt>
                <c:pt idx="130">
                  <c:v>6.93</c:v>
                </c:pt>
                <c:pt idx="131">
                  <c:v>7.33</c:v>
                </c:pt>
                <c:pt idx="132">
                  <c:v>8.4</c:v>
                </c:pt>
                <c:pt idx="133">
                  <c:v>6.4</c:v>
                </c:pt>
                <c:pt idx="134">
                  <c:v>8.1999999999999993</c:v>
                </c:pt>
                <c:pt idx="135">
                  <c:v>6.17</c:v>
                </c:pt>
                <c:pt idx="136">
                  <c:v>6.73</c:v>
                </c:pt>
                <c:pt idx="137">
                  <c:v>8</c:v>
                </c:pt>
                <c:pt idx="138">
                  <c:v>6.57</c:v>
                </c:pt>
                <c:pt idx="139">
                  <c:v>9.17</c:v>
                </c:pt>
                <c:pt idx="140">
                  <c:v>7.33</c:v>
                </c:pt>
                <c:pt idx="141">
                  <c:v>7.47</c:v>
                </c:pt>
                <c:pt idx="142">
                  <c:v>7.97</c:v>
                </c:pt>
                <c:pt idx="143">
                  <c:v>7.03</c:v>
                </c:pt>
                <c:pt idx="144">
                  <c:v>6.9</c:v>
                </c:pt>
                <c:pt idx="145">
                  <c:v>6.4</c:v>
                </c:pt>
                <c:pt idx="146">
                  <c:v>7.23</c:v>
                </c:pt>
                <c:pt idx="147">
                  <c:v>7.57</c:v>
                </c:pt>
                <c:pt idx="148">
                  <c:v>7.8</c:v>
                </c:pt>
                <c:pt idx="149">
                  <c:v>5.97</c:v>
                </c:pt>
                <c:pt idx="150">
                  <c:v>7.5</c:v>
                </c:pt>
                <c:pt idx="151">
                  <c:v>5.97</c:v>
                </c:pt>
                <c:pt idx="152">
                  <c:v>5.77</c:v>
                </c:pt>
                <c:pt idx="153">
                  <c:v>8.77</c:v>
                </c:pt>
                <c:pt idx="154">
                  <c:v>5.27</c:v>
                </c:pt>
                <c:pt idx="155">
                  <c:v>7.23</c:v>
                </c:pt>
                <c:pt idx="156">
                  <c:v>7.8</c:v>
                </c:pt>
                <c:pt idx="157">
                  <c:v>7.63</c:v>
                </c:pt>
                <c:pt idx="158">
                  <c:v>8.0299999999999994</c:v>
                </c:pt>
                <c:pt idx="159">
                  <c:v>7.23</c:v>
                </c:pt>
                <c:pt idx="160">
                  <c:v>8.5299999999999994</c:v>
                </c:pt>
                <c:pt idx="161">
                  <c:v>7.7</c:v>
                </c:pt>
                <c:pt idx="162">
                  <c:v>8.8000000000000007</c:v>
                </c:pt>
                <c:pt idx="163">
                  <c:v>6.83</c:v>
                </c:pt>
                <c:pt idx="164">
                  <c:v>7.87</c:v>
                </c:pt>
                <c:pt idx="165">
                  <c:v>7.33</c:v>
                </c:pt>
                <c:pt idx="166">
                  <c:v>5.97</c:v>
                </c:pt>
                <c:pt idx="167">
                  <c:v>7.33</c:v>
                </c:pt>
                <c:pt idx="168">
                  <c:v>7.17</c:v>
                </c:pt>
                <c:pt idx="169">
                  <c:v>6.03</c:v>
                </c:pt>
                <c:pt idx="170">
                  <c:v>6.63</c:v>
                </c:pt>
                <c:pt idx="171">
                  <c:v>7.73</c:v>
                </c:pt>
                <c:pt idx="172">
                  <c:v>8.6999999999999993</c:v>
                </c:pt>
                <c:pt idx="173">
                  <c:v>5.93</c:v>
                </c:pt>
                <c:pt idx="174">
                  <c:v>7.47</c:v>
                </c:pt>
                <c:pt idx="175">
                  <c:v>6.47</c:v>
                </c:pt>
                <c:pt idx="176">
                  <c:v>7.2</c:v>
                </c:pt>
                <c:pt idx="177">
                  <c:v>7.1</c:v>
                </c:pt>
                <c:pt idx="178">
                  <c:v>8.6300000000000008</c:v>
                </c:pt>
                <c:pt idx="179">
                  <c:v>5.6</c:v>
                </c:pt>
                <c:pt idx="180">
                  <c:v>5.8</c:v>
                </c:pt>
                <c:pt idx="181">
                  <c:v>5.6</c:v>
                </c:pt>
                <c:pt idx="182">
                  <c:v>5.7</c:v>
                </c:pt>
                <c:pt idx="183">
                  <c:v>7</c:v>
                </c:pt>
                <c:pt idx="184">
                  <c:v>7.97</c:v>
                </c:pt>
                <c:pt idx="185">
                  <c:v>6.47</c:v>
                </c:pt>
                <c:pt idx="186">
                  <c:v>6.57</c:v>
                </c:pt>
                <c:pt idx="187">
                  <c:v>6.4</c:v>
                </c:pt>
                <c:pt idx="188">
                  <c:v>6.13</c:v>
                </c:pt>
                <c:pt idx="189">
                  <c:v>6.5</c:v>
                </c:pt>
                <c:pt idx="190">
                  <c:v>7.17</c:v>
                </c:pt>
                <c:pt idx="191">
                  <c:v>9.0299999999999994</c:v>
                </c:pt>
                <c:pt idx="192">
                  <c:v>5.5</c:v>
                </c:pt>
                <c:pt idx="193">
                  <c:v>5.9</c:v>
                </c:pt>
                <c:pt idx="194">
                  <c:v>7.2</c:v>
                </c:pt>
                <c:pt idx="195">
                  <c:v>6.2</c:v>
                </c:pt>
                <c:pt idx="196">
                  <c:v>7.5</c:v>
                </c:pt>
                <c:pt idx="197">
                  <c:v>6.03</c:v>
                </c:pt>
                <c:pt idx="198">
                  <c:v>7.77</c:v>
                </c:pt>
                <c:pt idx="199">
                  <c:v>7.7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AD-4D8A-A5F2-BF9F1F1AC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90811"/>
        <c:axId val="18966742"/>
      </c:scatterChart>
      <c:valAx>
        <c:axId val="5839081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Attendance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966742"/>
        <c:crosses val="autoZero"/>
        <c:crossBetween val="midCat"/>
      </c:valAx>
      <c:valAx>
        <c:axId val="189667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GPA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39081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126999</xdr:colOff>
      <xdr:row>10</xdr:row>
      <xdr:rowOff>1</xdr:rowOff>
    </xdr:from>
    <xdr:to>
      <xdr:col>10</xdr:col>
      <xdr:colOff>237065</xdr:colOff>
      <xdr:row>24</xdr:row>
      <xdr:rowOff>33866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9</xdr:row>
      <xdr:rowOff>67734</xdr:rowOff>
    </xdr:from>
    <xdr:to>
      <xdr:col>22</xdr:col>
      <xdr:colOff>491067</xdr:colOff>
      <xdr:row>24</xdr:row>
      <xdr:rowOff>25401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22</xdr:col>
      <xdr:colOff>550333</xdr:colOff>
      <xdr:row>10</xdr:row>
      <xdr:rowOff>1</xdr:rowOff>
    </xdr:from>
    <xdr:to>
      <xdr:col>29</xdr:col>
      <xdr:colOff>42333</xdr:colOff>
      <xdr:row>24</xdr:row>
      <xdr:rowOff>59267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110067</xdr:colOff>
      <xdr:row>24</xdr:row>
      <xdr:rowOff>110066</xdr:rowOff>
    </xdr:from>
    <xdr:to>
      <xdr:col>16</xdr:col>
      <xdr:colOff>50799</xdr:colOff>
      <xdr:row>39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16</xdr:col>
      <xdr:colOff>186266</xdr:colOff>
      <xdr:row>24</xdr:row>
      <xdr:rowOff>160867</xdr:rowOff>
    </xdr:from>
    <xdr:to>
      <xdr:col>29</xdr:col>
      <xdr:colOff>50800</xdr:colOff>
      <xdr:row>40</xdr:row>
      <xdr:rowOff>8466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3A5C"/>
  </sheetPr>
  <dimension ref="A1:K201"/>
  <sheetViews>
    <sheetView tabSelected="1" zoomScaleNormal="100" workbookViewId="0">
      <pane ySplit="1" topLeftCell="A191" activePane="bottomLeft" state="frozen"/>
      <selection pane="bottomLeft"/>
    </sheetView>
  </sheetViews>
  <sheetFormatPr defaultColWidth="8.6328125" defaultRowHeight="14.5" x14ac:dyDescent="0.35"/>
  <cols>
    <col min="1" max="1" width="8" customWidth="1"/>
    <col min="2" max="2" width="14" customWidth="1"/>
    <col min="3" max="4" width="8" customWidth="1"/>
    <col min="5" max="5" width="18" customWidth="1"/>
    <col min="6" max="6" width="10" customWidth="1"/>
    <col min="7" max="7" width="14" customWidth="1"/>
    <col min="8" max="8" width="16" customWidth="1"/>
    <col min="9" max="9" width="14" customWidth="1"/>
    <col min="10" max="10" width="16" customWidth="1"/>
    <col min="11" max="11" width="8" customWidth="1"/>
  </cols>
  <sheetData>
    <row r="1" spans="1:11" ht="31.5" customHeight="1" x14ac:dyDescent="0.3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</row>
    <row r="2" spans="1:11" x14ac:dyDescent="0.35">
      <c r="A2" s="16" t="s">
        <v>11</v>
      </c>
      <c r="B2" s="16" t="s">
        <v>12</v>
      </c>
      <c r="C2" s="16" t="s">
        <v>13</v>
      </c>
      <c r="D2" s="16" t="s">
        <v>14</v>
      </c>
      <c r="E2" s="16" t="s">
        <v>15</v>
      </c>
      <c r="F2" s="16">
        <v>2</v>
      </c>
      <c r="G2" s="17">
        <v>77</v>
      </c>
      <c r="H2" s="16">
        <v>84</v>
      </c>
      <c r="I2" s="16">
        <v>50</v>
      </c>
      <c r="J2" s="16">
        <v>46</v>
      </c>
      <c r="K2" s="18">
        <v>6</v>
      </c>
    </row>
    <row r="3" spans="1:11" x14ac:dyDescent="0.35">
      <c r="A3" s="19" t="s">
        <v>16</v>
      </c>
      <c r="B3" s="19" t="s">
        <v>17</v>
      </c>
      <c r="C3" s="19" t="s">
        <v>18</v>
      </c>
      <c r="D3" s="19" t="s">
        <v>19</v>
      </c>
      <c r="E3" s="19" t="s">
        <v>20</v>
      </c>
      <c r="F3" s="19">
        <v>6</v>
      </c>
      <c r="G3" s="20">
        <v>66</v>
      </c>
      <c r="H3" s="19">
        <v>74</v>
      </c>
      <c r="I3" s="19">
        <v>95</v>
      </c>
      <c r="J3" s="19">
        <v>73</v>
      </c>
      <c r="K3" s="21">
        <v>8.07</v>
      </c>
    </row>
    <row r="4" spans="1:11" x14ac:dyDescent="0.35">
      <c r="A4" s="16" t="s">
        <v>21</v>
      </c>
      <c r="B4" s="16" t="s">
        <v>22</v>
      </c>
      <c r="C4" s="16" t="s">
        <v>18</v>
      </c>
      <c r="D4" s="16" t="s">
        <v>23</v>
      </c>
      <c r="E4" s="16" t="s">
        <v>24</v>
      </c>
      <c r="F4" s="16">
        <v>7</v>
      </c>
      <c r="G4" s="17">
        <v>89</v>
      </c>
      <c r="H4" s="16">
        <v>68</v>
      </c>
      <c r="I4" s="16">
        <v>83</v>
      </c>
      <c r="J4" s="16">
        <v>66</v>
      </c>
      <c r="K4" s="18">
        <v>7.23</v>
      </c>
    </row>
    <row r="5" spans="1:11" x14ac:dyDescent="0.35">
      <c r="A5" s="19" t="s">
        <v>25</v>
      </c>
      <c r="B5" s="19" t="s">
        <v>26</v>
      </c>
      <c r="C5" s="19" t="s">
        <v>13</v>
      </c>
      <c r="D5" s="19" t="s">
        <v>23</v>
      </c>
      <c r="E5" s="19" t="s">
        <v>24</v>
      </c>
      <c r="F5" s="19">
        <v>6</v>
      </c>
      <c r="G5" s="20">
        <v>94</v>
      </c>
      <c r="H5" s="19">
        <v>80</v>
      </c>
      <c r="I5" s="19">
        <v>58</v>
      </c>
      <c r="J5" s="19">
        <v>92</v>
      </c>
      <c r="K5" s="21">
        <v>7.67</v>
      </c>
    </row>
    <row r="6" spans="1:11" x14ac:dyDescent="0.35">
      <c r="A6" s="16" t="s">
        <v>27</v>
      </c>
      <c r="B6" s="16" t="s">
        <v>28</v>
      </c>
      <c r="C6" s="16" t="s">
        <v>13</v>
      </c>
      <c r="D6" s="16" t="s">
        <v>19</v>
      </c>
      <c r="E6" s="16" t="s">
        <v>24</v>
      </c>
      <c r="F6" s="16">
        <v>6</v>
      </c>
      <c r="G6" s="17">
        <v>88</v>
      </c>
      <c r="H6" s="16">
        <v>70</v>
      </c>
      <c r="I6" s="16">
        <v>68</v>
      </c>
      <c r="J6" s="16">
        <v>41</v>
      </c>
      <c r="K6" s="18">
        <v>5.97</v>
      </c>
    </row>
    <row r="7" spans="1:11" x14ac:dyDescent="0.35">
      <c r="A7" s="19" t="s">
        <v>29</v>
      </c>
      <c r="B7" s="19" t="s">
        <v>30</v>
      </c>
      <c r="C7" s="19" t="s">
        <v>13</v>
      </c>
      <c r="D7" s="19" t="s">
        <v>14</v>
      </c>
      <c r="E7" s="19" t="s">
        <v>24</v>
      </c>
      <c r="F7" s="19">
        <v>3</v>
      </c>
      <c r="G7" s="20">
        <v>93</v>
      </c>
      <c r="H7" s="19">
        <v>68</v>
      </c>
      <c r="I7" s="19">
        <v>95</v>
      </c>
      <c r="J7" s="19">
        <v>51</v>
      </c>
      <c r="K7" s="21">
        <v>7.13</v>
      </c>
    </row>
    <row r="8" spans="1:11" x14ac:dyDescent="0.35">
      <c r="A8" s="16" t="s">
        <v>31</v>
      </c>
      <c r="B8" s="16" t="s">
        <v>32</v>
      </c>
      <c r="C8" s="16" t="s">
        <v>13</v>
      </c>
      <c r="D8" s="16" t="s">
        <v>14</v>
      </c>
      <c r="E8" s="16" t="s">
        <v>15</v>
      </c>
      <c r="F8" s="16">
        <v>4</v>
      </c>
      <c r="G8" s="17">
        <v>65</v>
      </c>
      <c r="H8" s="16">
        <v>77</v>
      </c>
      <c r="I8" s="16">
        <v>68</v>
      </c>
      <c r="J8" s="16">
        <v>100</v>
      </c>
      <c r="K8" s="18">
        <v>8.17</v>
      </c>
    </row>
    <row r="9" spans="1:11" x14ac:dyDescent="0.35">
      <c r="A9" s="19" t="s">
        <v>33</v>
      </c>
      <c r="B9" s="19" t="s">
        <v>34</v>
      </c>
      <c r="C9" s="19" t="s">
        <v>18</v>
      </c>
      <c r="D9" s="19" t="s">
        <v>19</v>
      </c>
      <c r="E9" s="19" t="s">
        <v>20</v>
      </c>
      <c r="F9" s="19">
        <v>4</v>
      </c>
      <c r="G9" s="20">
        <v>70</v>
      </c>
      <c r="H9" s="19">
        <v>89</v>
      </c>
      <c r="I9" s="19">
        <v>48</v>
      </c>
      <c r="J9" s="19">
        <v>88</v>
      </c>
      <c r="K9" s="21">
        <v>7.5</v>
      </c>
    </row>
    <row r="10" spans="1:11" x14ac:dyDescent="0.35">
      <c r="A10" s="16" t="s">
        <v>35</v>
      </c>
      <c r="B10" s="16" t="s">
        <v>36</v>
      </c>
      <c r="C10" s="16" t="s">
        <v>18</v>
      </c>
      <c r="D10" s="16" t="s">
        <v>14</v>
      </c>
      <c r="E10" s="16" t="s">
        <v>15</v>
      </c>
      <c r="F10" s="16">
        <v>6</v>
      </c>
      <c r="G10" s="17">
        <v>67</v>
      </c>
      <c r="H10" s="16">
        <v>52</v>
      </c>
      <c r="I10" s="16">
        <v>86</v>
      </c>
      <c r="J10" s="16">
        <v>51</v>
      </c>
      <c r="K10" s="18">
        <v>6.3</v>
      </c>
    </row>
    <row r="11" spans="1:11" x14ac:dyDescent="0.35">
      <c r="A11" s="19" t="s">
        <v>37</v>
      </c>
      <c r="B11" s="19" t="s">
        <v>38</v>
      </c>
      <c r="C11" s="19" t="s">
        <v>18</v>
      </c>
      <c r="D11" s="19" t="s">
        <v>14</v>
      </c>
      <c r="E11" s="19" t="s">
        <v>39</v>
      </c>
      <c r="F11" s="19">
        <v>5</v>
      </c>
      <c r="G11" s="20">
        <v>62</v>
      </c>
      <c r="H11" s="19">
        <v>65</v>
      </c>
      <c r="I11" s="19">
        <v>77</v>
      </c>
      <c r="J11" s="19">
        <v>98</v>
      </c>
      <c r="K11" s="21">
        <v>8</v>
      </c>
    </row>
    <row r="12" spans="1:11" x14ac:dyDescent="0.35">
      <c r="A12" s="16" t="s">
        <v>40</v>
      </c>
      <c r="B12" s="16" t="s">
        <v>41</v>
      </c>
      <c r="C12" s="16" t="s">
        <v>18</v>
      </c>
      <c r="D12" s="16" t="s">
        <v>19</v>
      </c>
      <c r="E12" s="16" t="s">
        <v>24</v>
      </c>
      <c r="F12" s="16">
        <v>6</v>
      </c>
      <c r="G12" s="17">
        <v>86</v>
      </c>
      <c r="H12" s="16">
        <v>80</v>
      </c>
      <c r="I12" s="16">
        <v>91</v>
      </c>
      <c r="J12" s="16">
        <v>91</v>
      </c>
      <c r="K12" s="18">
        <v>8.73</v>
      </c>
    </row>
    <row r="13" spans="1:11" x14ac:dyDescent="0.35">
      <c r="A13" s="19" t="s">
        <v>42</v>
      </c>
      <c r="B13" s="19" t="s">
        <v>43</v>
      </c>
      <c r="C13" s="19" t="s">
        <v>18</v>
      </c>
      <c r="D13" s="19" t="s">
        <v>19</v>
      </c>
      <c r="E13" s="19" t="s">
        <v>15</v>
      </c>
      <c r="F13" s="19">
        <v>5</v>
      </c>
      <c r="G13" s="20">
        <v>100</v>
      </c>
      <c r="H13" s="19">
        <v>83</v>
      </c>
      <c r="I13" s="19">
        <v>97</v>
      </c>
      <c r="J13" s="19">
        <v>73</v>
      </c>
      <c r="K13" s="21">
        <v>8.43</v>
      </c>
    </row>
    <row r="14" spans="1:11" x14ac:dyDescent="0.35">
      <c r="A14" s="16" t="s">
        <v>44</v>
      </c>
      <c r="B14" s="16" t="s">
        <v>45</v>
      </c>
      <c r="C14" s="16" t="s">
        <v>18</v>
      </c>
      <c r="D14" s="16" t="s">
        <v>19</v>
      </c>
      <c r="E14" s="16" t="s">
        <v>46</v>
      </c>
      <c r="F14" s="16">
        <v>6</v>
      </c>
      <c r="G14" s="17">
        <v>69</v>
      </c>
      <c r="H14" s="16">
        <v>89</v>
      </c>
      <c r="I14" s="16">
        <v>84</v>
      </c>
      <c r="J14" s="16">
        <v>60</v>
      </c>
      <c r="K14" s="18">
        <v>7.77</v>
      </c>
    </row>
    <row r="15" spans="1:11" x14ac:dyDescent="0.35">
      <c r="A15" s="19" t="s">
        <v>47</v>
      </c>
      <c r="B15" s="19" t="s">
        <v>48</v>
      </c>
      <c r="C15" s="19" t="s">
        <v>18</v>
      </c>
      <c r="D15" s="19" t="s">
        <v>19</v>
      </c>
      <c r="E15" s="19" t="s">
        <v>39</v>
      </c>
      <c r="F15" s="19">
        <v>3</v>
      </c>
      <c r="G15" s="20">
        <v>70</v>
      </c>
      <c r="H15" s="19">
        <v>51</v>
      </c>
      <c r="I15" s="19">
        <v>49</v>
      </c>
      <c r="J15" s="19">
        <v>50</v>
      </c>
      <c r="K15" s="21">
        <v>5</v>
      </c>
    </row>
    <row r="16" spans="1:11" x14ac:dyDescent="0.35">
      <c r="A16" s="16" t="s">
        <v>49</v>
      </c>
      <c r="B16" s="16" t="s">
        <v>50</v>
      </c>
      <c r="C16" s="16" t="s">
        <v>13</v>
      </c>
      <c r="D16" s="16" t="s">
        <v>14</v>
      </c>
      <c r="E16" s="16" t="s">
        <v>24</v>
      </c>
      <c r="F16" s="16">
        <v>1</v>
      </c>
      <c r="G16" s="17">
        <v>61</v>
      </c>
      <c r="H16" s="16">
        <v>65</v>
      </c>
      <c r="I16" s="16">
        <v>83</v>
      </c>
      <c r="J16" s="16">
        <v>45</v>
      </c>
      <c r="K16" s="18">
        <v>6.43</v>
      </c>
    </row>
    <row r="17" spans="1:11" x14ac:dyDescent="0.35">
      <c r="A17" s="19" t="s">
        <v>51</v>
      </c>
      <c r="B17" s="19" t="s">
        <v>52</v>
      </c>
      <c r="C17" s="19" t="s">
        <v>13</v>
      </c>
      <c r="D17" s="19" t="s">
        <v>23</v>
      </c>
      <c r="E17" s="19" t="s">
        <v>15</v>
      </c>
      <c r="F17" s="19">
        <v>1</v>
      </c>
      <c r="G17" s="20">
        <v>96</v>
      </c>
      <c r="H17" s="19">
        <v>78</v>
      </c>
      <c r="I17" s="19">
        <v>82</v>
      </c>
      <c r="J17" s="19">
        <v>93</v>
      </c>
      <c r="K17" s="21">
        <v>8.43</v>
      </c>
    </row>
    <row r="18" spans="1:11" x14ac:dyDescent="0.35">
      <c r="A18" s="16" t="s">
        <v>53</v>
      </c>
      <c r="B18" s="16" t="s">
        <v>54</v>
      </c>
      <c r="C18" s="16" t="s">
        <v>18</v>
      </c>
      <c r="D18" s="16" t="s">
        <v>14</v>
      </c>
      <c r="E18" s="16" t="s">
        <v>46</v>
      </c>
      <c r="F18" s="16">
        <v>6</v>
      </c>
      <c r="G18" s="17">
        <v>94</v>
      </c>
      <c r="H18" s="16">
        <v>90</v>
      </c>
      <c r="I18" s="16">
        <v>70</v>
      </c>
      <c r="J18" s="16">
        <v>48</v>
      </c>
      <c r="K18" s="18">
        <v>6.93</v>
      </c>
    </row>
    <row r="19" spans="1:11" x14ac:dyDescent="0.35">
      <c r="A19" s="19" t="s">
        <v>55</v>
      </c>
      <c r="B19" s="19" t="s">
        <v>56</v>
      </c>
      <c r="C19" s="19" t="s">
        <v>13</v>
      </c>
      <c r="D19" s="19" t="s">
        <v>57</v>
      </c>
      <c r="E19" s="19" t="s">
        <v>15</v>
      </c>
      <c r="F19" s="19">
        <v>2</v>
      </c>
      <c r="G19" s="20">
        <v>80</v>
      </c>
      <c r="H19" s="19">
        <v>69</v>
      </c>
      <c r="I19" s="19">
        <v>41</v>
      </c>
      <c r="J19" s="19">
        <v>58</v>
      </c>
      <c r="K19" s="21">
        <v>5.6</v>
      </c>
    </row>
    <row r="20" spans="1:11" x14ac:dyDescent="0.35">
      <c r="A20" s="16" t="s">
        <v>58</v>
      </c>
      <c r="B20" s="16" t="s">
        <v>59</v>
      </c>
      <c r="C20" s="16" t="s">
        <v>13</v>
      </c>
      <c r="D20" s="16" t="s">
        <v>19</v>
      </c>
      <c r="E20" s="16" t="s">
        <v>15</v>
      </c>
      <c r="F20" s="16">
        <v>4</v>
      </c>
      <c r="G20" s="17">
        <v>88</v>
      </c>
      <c r="H20" s="16">
        <v>72</v>
      </c>
      <c r="I20" s="16">
        <v>88</v>
      </c>
      <c r="J20" s="16">
        <v>58</v>
      </c>
      <c r="K20" s="18">
        <v>7.27</v>
      </c>
    </row>
    <row r="21" spans="1:11" x14ac:dyDescent="0.35">
      <c r="A21" s="19" t="s">
        <v>60</v>
      </c>
      <c r="B21" s="19" t="s">
        <v>61</v>
      </c>
      <c r="C21" s="19" t="s">
        <v>18</v>
      </c>
      <c r="D21" s="19" t="s">
        <v>14</v>
      </c>
      <c r="E21" s="19" t="s">
        <v>46</v>
      </c>
      <c r="F21" s="19">
        <v>2</v>
      </c>
      <c r="G21" s="20">
        <v>98</v>
      </c>
      <c r="H21" s="19">
        <v>86</v>
      </c>
      <c r="I21" s="19">
        <v>85</v>
      </c>
      <c r="J21" s="19">
        <v>93</v>
      </c>
      <c r="K21" s="21">
        <v>8.8000000000000007</v>
      </c>
    </row>
    <row r="22" spans="1:11" x14ac:dyDescent="0.35">
      <c r="A22" s="16" t="s">
        <v>62</v>
      </c>
      <c r="B22" s="16" t="s">
        <v>63</v>
      </c>
      <c r="C22" s="16" t="s">
        <v>18</v>
      </c>
      <c r="D22" s="16" t="s">
        <v>19</v>
      </c>
      <c r="E22" s="16" t="s">
        <v>46</v>
      </c>
      <c r="F22" s="16">
        <v>5</v>
      </c>
      <c r="G22" s="17">
        <v>65</v>
      </c>
      <c r="H22" s="16">
        <v>50</v>
      </c>
      <c r="I22" s="16">
        <v>42</v>
      </c>
      <c r="J22" s="16">
        <v>86</v>
      </c>
      <c r="K22" s="18">
        <v>5.93</v>
      </c>
    </row>
    <row r="23" spans="1:11" x14ac:dyDescent="0.35">
      <c r="A23" s="19" t="s">
        <v>64</v>
      </c>
      <c r="B23" s="19" t="s">
        <v>65</v>
      </c>
      <c r="C23" s="19" t="s">
        <v>13</v>
      </c>
      <c r="D23" s="19" t="s">
        <v>14</v>
      </c>
      <c r="E23" s="19" t="s">
        <v>24</v>
      </c>
      <c r="F23" s="19">
        <v>5</v>
      </c>
      <c r="G23" s="20">
        <v>86</v>
      </c>
      <c r="H23" s="19">
        <v>71</v>
      </c>
      <c r="I23" s="19">
        <v>50</v>
      </c>
      <c r="J23" s="19">
        <v>50</v>
      </c>
      <c r="K23" s="21">
        <v>5.7</v>
      </c>
    </row>
    <row r="24" spans="1:11" x14ac:dyDescent="0.35">
      <c r="A24" s="16" t="s">
        <v>66</v>
      </c>
      <c r="B24" s="16" t="s">
        <v>67</v>
      </c>
      <c r="C24" s="16" t="s">
        <v>18</v>
      </c>
      <c r="D24" s="16" t="s">
        <v>23</v>
      </c>
      <c r="E24" s="16" t="s">
        <v>20</v>
      </c>
      <c r="F24" s="16">
        <v>6</v>
      </c>
      <c r="G24" s="17">
        <v>88</v>
      </c>
      <c r="H24" s="16">
        <v>99</v>
      </c>
      <c r="I24" s="16">
        <v>47</v>
      </c>
      <c r="J24" s="16">
        <v>97</v>
      </c>
      <c r="K24" s="18">
        <v>8.1</v>
      </c>
    </row>
    <row r="25" spans="1:11" x14ac:dyDescent="0.35">
      <c r="A25" s="19" t="s">
        <v>68</v>
      </c>
      <c r="B25" s="19" t="s">
        <v>69</v>
      </c>
      <c r="C25" s="19" t="s">
        <v>13</v>
      </c>
      <c r="D25" s="19" t="s">
        <v>23</v>
      </c>
      <c r="E25" s="19" t="s">
        <v>20</v>
      </c>
      <c r="F25" s="19">
        <v>2</v>
      </c>
      <c r="G25" s="20">
        <v>97</v>
      </c>
      <c r="H25" s="19">
        <v>54</v>
      </c>
      <c r="I25" s="19">
        <v>88</v>
      </c>
      <c r="J25" s="19">
        <v>93</v>
      </c>
      <c r="K25" s="21">
        <v>7.83</v>
      </c>
    </row>
    <row r="26" spans="1:11" x14ac:dyDescent="0.35">
      <c r="A26" s="16" t="s">
        <v>70</v>
      </c>
      <c r="B26" s="16" t="s">
        <v>71</v>
      </c>
      <c r="C26" s="16" t="s">
        <v>18</v>
      </c>
      <c r="D26" s="16" t="s">
        <v>19</v>
      </c>
      <c r="E26" s="16" t="s">
        <v>15</v>
      </c>
      <c r="F26" s="16">
        <v>3</v>
      </c>
      <c r="G26" s="17">
        <v>100</v>
      </c>
      <c r="H26" s="16">
        <v>94</v>
      </c>
      <c r="I26" s="16">
        <v>74</v>
      </c>
      <c r="J26" s="16">
        <v>80</v>
      </c>
      <c r="K26" s="18">
        <v>8.27</v>
      </c>
    </row>
    <row r="27" spans="1:11" x14ac:dyDescent="0.35">
      <c r="A27" s="19" t="s">
        <v>72</v>
      </c>
      <c r="B27" s="19" t="s">
        <v>73</v>
      </c>
      <c r="C27" s="19" t="s">
        <v>18</v>
      </c>
      <c r="D27" s="19" t="s">
        <v>14</v>
      </c>
      <c r="E27" s="19" t="s">
        <v>46</v>
      </c>
      <c r="F27" s="19">
        <v>2</v>
      </c>
      <c r="G27" s="20">
        <v>75</v>
      </c>
      <c r="H27" s="19">
        <v>66</v>
      </c>
      <c r="I27" s="19">
        <v>74</v>
      </c>
      <c r="J27" s="19">
        <v>40</v>
      </c>
      <c r="K27" s="21">
        <v>6</v>
      </c>
    </row>
    <row r="28" spans="1:11" x14ac:dyDescent="0.35">
      <c r="A28" s="16" t="s">
        <v>74</v>
      </c>
      <c r="B28" s="16" t="s">
        <v>75</v>
      </c>
      <c r="C28" s="16" t="s">
        <v>13</v>
      </c>
      <c r="D28" s="16" t="s">
        <v>19</v>
      </c>
      <c r="E28" s="16" t="s">
        <v>20</v>
      </c>
      <c r="F28" s="16">
        <v>5</v>
      </c>
      <c r="G28" s="17">
        <v>78</v>
      </c>
      <c r="H28" s="16">
        <v>55</v>
      </c>
      <c r="I28" s="16">
        <v>77</v>
      </c>
      <c r="J28" s="16">
        <v>78</v>
      </c>
      <c r="K28" s="18">
        <v>7</v>
      </c>
    </row>
    <row r="29" spans="1:11" x14ac:dyDescent="0.35">
      <c r="A29" s="19" t="s">
        <v>76</v>
      </c>
      <c r="B29" s="19" t="s">
        <v>77</v>
      </c>
      <c r="C29" s="19" t="s">
        <v>13</v>
      </c>
      <c r="D29" s="19" t="s">
        <v>57</v>
      </c>
      <c r="E29" s="19" t="s">
        <v>15</v>
      </c>
      <c r="F29" s="19">
        <v>3</v>
      </c>
      <c r="G29" s="20">
        <v>89</v>
      </c>
      <c r="H29" s="19">
        <v>59</v>
      </c>
      <c r="I29" s="19">
        <v>97</v>
      </c>
      <c r="J29" s="19">
        <v>45</v>
      </c>
      <c r="K29" s="21">
        <v>6.7</v>
      </c>
    </row>
    <row r="30" spans="1:11" x14ac:dyDescent="0.35">
      <c r="A30" s="16" t="s">
        <v>78</v>
      </c>
      <c r="B30" s="16" t="s">
        <v>79</v>
      </c>
      <c r="C30" s="16" t="s">
        <v>18</v>
      </c>
      <c r="D30" s="16" t="s">
        <v>19</v>
      </c>
      <c r="E30" s="16" t="s">
        <v>15</v>
      </c>
      <c r="F30" s="16">
        <v>2</v>
      </c>
      <c r="G30" s="17">
        <v>88</v>
      </c>
      <c r="H30" s="16">
        <v>77</v>
      </c>
      <c r="I30" s="16">
        <v>78</v>
      </c>
      <c r="J30" s="16">
        <v>52</v>
      </c>
      <c r="K30" s="18">
        <v>6.9</v>
      </c>
    </row>
    <row r="31" spans="1:11" x14ac:dyDescent="0.35">
      <c r="A31" s="19" t="s">
        <v>80</v>
      </c>
      <c r="B31" s="19" t="s">
        <v>81</v>
      </c>
      <c r="C31" s="19" t="s">
        <v>13</v>
      </c>
      <c r="D31" s="19" t="s">
        <v>57</v>
      </c>
      <c r="E31" s="19" t="s">
        <v>24</v>
      </c>
      <c r="F31" s="19">
        <v>8</v>
      </c>
      <c r="G31" s="20">
        <v>76</v>
      </c>
      <c r="H31" s="19">
        <v>99</v>
      </c>
      <c r="I31" s="19">
        <v>45</v>
      </c>
      <c r="J31" s="19">
        <v>54</v>
      </c>
      <c r="K31" s="21">
        <v>6.6</v>
      </c>
    </row>
    <row r="32" spans="1:11" x14ac:dyDescent="0.35">
      <c r="A32" s="16" t="s">
        <v>82</v>
      </c>
      <c r="B32" s="16" t="s">
        <v>83</v>
      </c>
      <c r="C32" s="16" t="s">
        <v>13</v>
      </c>
      <c r="D32" s="16" t="s">
        <v>19</v>
      </c>
      <c r="E32" s="16" t="s">
        <v>39</v>
      </c>
      <c r="F32" s="16">
        <v>1</v>
      </c>
      <c r="G32" s="17">
        <v>92</v>
      </c>
      <c r="H32" s="16">
        <v>76</v>
      </c>
      <c r="I32" s="16">
        <v>69</v>
      </c>
      <c r="J32" s="16">
        <v>66</v>
      </c>
      <c r="K32" s="18">
        <v>7.03</v>
      </c>
    </row>
    <row r="33" spans="1:11" x14ac:dyDescent="0.35">
      <c r="A33" s="19" t="s">
        <v>84</v>
      </c>
      <c r="B33" s="19" t="s">
        <v>85</v>
      </c>
      <c r="C33" s="19" t="s">
        <v>13</v>
      </c>
      <c r="D33" s="19" t="s">
        <v>14</v>
      </c>
      <c r="E33" s="19" t="s">
        <v>15</v>
      </c>
      <c r="F33" s="19">
        <v>3</v>
      </c>
      <c r="G33" s="20">
        <v>82</v>
      </c>
      <c r="H33" s="19">
        <v>89</v>
      </c>
      <c r="I33" s="19">
        <v>87</v>
      </c>
      <c r="J33" s="19">
        <v>58</v>
      </c>
      <c r="K33" s="21">
        <v>7.8</v>
      </c>
    </row>
    <row r="34" spans="1:11" x14ac:dyDescent="0.35">
      <c r="A34" s="16" t="s">
        <v>86</v>
      </c>
      <c r="B34" s="16" t="s">
        <v>87</v>
      </c>
      <c r="C34" s="16" t="s">
        <v>13</v>
      </c>
      <c r="D34" s="16" t="s">
        <v>57</v>
      </c>
      <c r="E34" s="16" t="s">
        <v>20</v>
      </c>
      <c r="F34" s="16">
        <v>4</v>
      </c>
      <c r="G34" s="17">
        <v>78</v>
      </c>
      <c r="H34" s="16">
        <v>51</v>
      </c>
      <c r="I34" s="16">
        <v>98</v>
      </c>
      <c r="J34" s="16">
        <v>72</v>
      </c>
      <c r="K34" s="18">
        <v>7.37</v>
      </c>
    </row>
    <row r="35" spans="1:11" x14ac:dyDescent="0.35">
      <c r="A35" s="19" t="s">
        <v>88</v>
      </c>
      <c r="B35" s="19" t="s">
        <v>89</v>
      </c>
      <c r="C35" s="19" t="s">
        <v>18</v>
      </c>
      <c r="D35" s="19" t="s">
        <v>14</v>
      </c>
      <c r="E35" s="19" t="s">
        <v>24</v>
      </c>
      <c r="F35" s="19">
        <v>4</v>
      </c>
      <c r="G35" s="20">
        <v>83</v>
      </c>
      <c r="H35" s="19">
        <v>76</v>
      </c>
      <c r="I35" s="19">
        <v>41</v>
      </c>
      <c r="J35" s="19">
        <v>67</v>
      </c>
      <c r="K35" s="21">
        <v>6.13</v>
      </c>
    </row>
    <row r="36" spans="1:11" x14ac:dyDescent="0.35">
      <c r="A36" s="16" t="s">
        <v>90</v>
      </c>
      <c r="B36" s="16" t="s">
        <v>91</v>
      </c>
      <c r="C36" s="16" t="s">
        <v>13</v>
      </c>
      <c r="D36" s="16" t="s">
        <v>19</v>
      </c>
      <c r="E36" s="16" t="s">
        <v>39</v>
      </c>
      <c r="F36" s="16">
        <v>8</v>
      </c>
      <c r="G36" s="17">
        <v>74</v>
      </c>
      <c r="H36" s="16">
        <v>77</v>
      </c>
      <c r="I36" s="16">
        <v>50</v>
      </c>
      <c r="J36" s="16">
        <v>60</v>
      </c>
      <c r="K36" s="18">
        <v>6.23</v>
      </c>
    </row>
    <row r="37" spans="1:11" x14ac:dyDescent="0.35">
      <c r="A37" s="19" t="s">
        <v>92</v>
      </c>
      <c r="B37" s="19" t="s">
        <v>93</v>
      </c>
      <c r="C37" s="19" t="s">
        <v>13</v>
      </c>
      <c r="D37" s="19" t="s">
        <v>14</v>
      </c>
      <c r="E37" s="19" t="s">
        <v>24</v>
      </c>
      <c r="F37" s="19">
        <v>5</v>
      </c>
      <c r="G37" s="20">
        <v>90</v>
      </c>
      <c r="H37" s="19">
        <v>100</v>
      </c>
      <c r="I37" s="19">
        <v>84</v>
      </c>
      <c r="J37" s="19">
        <v>99</v>
      </c>
      <c r="K37" s="21">
        <v>9.43</v>
      </c>
    </row>
    <row r="38" spans="1:11" x14ac:dyDescent="0.35">
      <c r="A38" s="16" t="s">
        <v>94</v>
      </c>
      <c r="B38" s="16" t="s">
        <v>95</v>
      </c>
      <c r="C38" s="16" t="s">
        <v>13</v>
      </c>
      <c r="D38" s="16" t="s">
        <v>19</v>
      </c>
      <c r="E38" s="16" t="s">
        <v>15</v>
      </c>
      <c r="F38" s="16">
        <v>4</v>
      </c>
      <c r="G38" s="17">
        <v>84</v>
      </c>
      <c r="H38" s="16">
        <v>68</v>
      </c>
      <c r="I38" s="16">
        <v>60</v>
      </c>
      <c r="J38" s="16">
        <v>45</v>
      </c>
      <c r="K38" s="18">
        <v>5.77</v>
      </c>
    </row>
    <row r="39" spans="1:11" x14ac:dyDescent="0.35">
      <c r="A39" s="19" t="s">
        <v>96</v>
      </c>
      <c r="B39" s="19" t="s">
        <v>97</v>
      </c>
      <c r="C39" s="19" t="s">
        <v>13</v>
      </c>
      <c r="D39" s="19" t="s">
        <v>57</v>
      </c>
      <c r="E39" s="19" t="s">
        <v>24</v>
      </c>
      <c r="F39" s="19">
        <v>6</v>
      </c>
      <c r="G39" s="20">
        <v>60</v>
      </c>
      <c r="H39" s="19">
        <v>97</v>
      </c>
      <c r="I39" s="19">
        <v>78</v>
      </c>
      <c r="J39" s="19">
        <v>66</v>
      </c>
      <c r="K39" s="21">
        <v>8.0299999999999994</v>
      </c>
    </row>
    <row r="40" spans="1:11" x14ac:dyDescent="0.35">
      <c r="A40" s="16" t="s">
        <v>98</v>
      </c>
      <c r="B40" s="16" t="s">
        <v>99</v>
      </c>
      <c r="C40" s="16" t="s">
        <v>18</v>
      </c>
      <c r="D40" s="16" t="s">
        <v>23</v>
      </c>
      <c r="E40" s="16" t="s">
        <v>39</v>
      </c>
      <c r="F40" s="16">
        <v>5</v>
      </c>
      <c r="G40" s="17">
        <v>85</v>
      </c>
      <c r="H40" s="16">
        <v>93</v>
      </c>
      <c r="I40" s="16">
        <v>94</v>
      </c>
      <c r="J40" s="16">
        <v>58</v>
      </c>
      <c r="K40" s="18">
        <v>8.17</v>
      </c>
    </row>
    <row r="41" spans="1:11" x14ac:dyDescent="0.35">
      <c r="A41" s="19" t="s">
        <v>100</v>
      </c>
      <c r="B41" s="19" t="s">
        <v>101</v>
      </c>
      <c r="C41" s="19" t="s">
        <v>18</v>
      </c>
      <c r="D41" s="19" t="s">
        <v>14</v>
      </c>
      <c r="E41" s="19" t="s">
        <v>39</v>
      </c>
      <c r="F41" s="19">
        <v>1</v>
      </c>
      <c r="G41" s="20">
        <v>64</v>
      </c>
      <c r="H41" s="19">
        <v>82</v>
      </c>
      <c r="I41" s="19">
        <v>79</v>
      </c>
      <c r="J41" s="19">
        <v>76</v>
      </c>
      <c r="K41" s="21">
        <v>7.9</v>
      </c>
    </row>
    <row r="42" spans="1:11" x14ac:dyDescent="0.35">
      <c r="A42" s="16" t="s">
        <v>102</v>
      </c>
      <c r="B42" s="16" t="s">
        <v>103</v>
      </c>
      <c r="C42" s="16" t="s">
        <v>18</v>
      </c>
      <c r="D42" s="16" t="s">
        <v>19</v>
      </c>
      <c r="E42" s="16" t="s">
        <v>15</v>
      </c>
      <c r="F42" s="16">
        <v>8</v>
      </c>
      <c r="G42" s="17">
        <v>72</v>
      </c>
      <c r="H42" s="16">
        <v>80</v>
      </c>
      <c r="I42" s="16">
        <v>66</v>
      </c>
      <c r="J42" s="16">
        <v>94</v>
      </c>
      <c r="K42" s="18">
        <v>8</v>
      </c>
    </row>
    <row r="43" spans="1:11" x14ac:dyDescent="0.35">
      <c r="A43" s="19" t="s">
        <v>104</v>
      </c>
      <c r="B43" s="19" t="s">
        <v>105</v>
      </c>
      <c r="C43" s="19" t="s">
        <v>18</v>
      </c>
      <c r="D43" s="19" t="s">
        <v>57</v>
      </c>
      <c r="E43" s="19" t="s">
        <v>46</v>
      </c>
      <c r="F43" s="19">
        <v>1</v>
      </c>
      <c r="G43" s="20">
        <v>66</v>
      </c>
      <c r="H43" s="19">
        <v>51</v>
      </c>
      <c r="I43" s="19">
        <v>98</v>
      </c>
      <c r="J43" s="19">
        <v>99</v>
      </c>
      <c r="K43" s="21">
        <v>8.27</v>
      </c>
    </row>
    <row r="44" spans="1:11" x14ac:dyDescent="0.35">
      <c r="A44" s="16" t="s">
        <v>106</v>
      </c>
      <c r="B44" s="16" t="s">
        <v>107</v>
      </c>
      <c r="C44" s="16" t="s">
        <v>13</v>
      </c>
      <c r="D44" s="16" t="s">
        <v>14</v>
      </c>
      <c r="E44" s="16" t="s">
        <v>39</v>
      </c>
      <c r="F44" s="16">
        <v>4</v>
      </c>
      <c r="G44" s="17">
        <v>83</v>
      </c>
      <c r="H44" s="16">
        <v>72</v>
      </c>
      <c r="I44" s="16">
        <v>79</v>
      </c>
      <c r="J44" s="16">
        <v>81</v>
      </c>
      <c r="K44" s="18">
        <v>7.73</v>
      </c>
    </row>
    <row r="45" spans="1:11" x14ac:dyDescent="0.35">
      <c r="A45" s="19" t="s">
        <v>108</v>
      </c>
      <c r="B45" s="19" t="s">
        <v>109</v>
      </c>
      <c r="C45" s="19" t="s">
        <v>13</v>
      </c>
      <c r="D45" s="19" t="s">
        <v>14</v>
      </c>
      <c r="E45" s="19" t="s">
        <v>15</v>
      </c>
      <c r="F45" s="19">
        <v>4</v>
      </c>
      <c r="G45" s="20">
        <v>75</v>
      </c>
      <c r="H45" s="19">
        <v>67</v>
      </c>
      <c r="I45" s="19">
        <v>71</v>
      </c>
      <c r="J45" s="19">
        <v>56</v>
      </c>
      <c r="K45" s="21">
        <v>6.47</v>
      </c>
    </row>
    <row r="46" spans="1:11" x14ac:dyDescent="0.35">
      <c r="A46" s="16" t="s">
        <v>110</v>
      </c>
      <c r="B46" s="16" t="s">
        <v>111</v>
      </c>
      <c r="C46" s="16" t="s">
        <v>18</v>
      </c>
      <c r="D46" s="16" t="s">
        <v>23</v>
      </c>
      <c r="E46" s="16" t="s">
        <v>39</v>
      </c>
      <c r="F46" s="16">
        <v>5</v>
      </c>
      <c r="G46" s="17">
        <v>72</v>
      </c>
      <c r="H46" s="16">
        <v>58</v>
      </c>
      <c r="I46" s="16">
        <v>60</v>
      </c>
      <c r="J46" s="16">
        <v>76</v>
      </c>
      <c r="K46" s="18">
        <v>6.47</v>
      </c>
    </row>
    <row r="47" spans="1:11" x14ac:dyDescent="0.35">
      <c r="A47" s="19" t="s">
        <v>112</v>
      </c>
      <c r="B47" s="19" t="s">
        <v>113</v>
      </c>
      <c r="C47" s="19" t="s">
        <v>13</v>
      </c>
      <c r="D47" s="19" t="s">
        <v>19</v>
      </c>
      <c r="E47" s="19" t="s">
        <v>24</v>
      </c>
      <c r="F47" s="19">
        <v>6</v>
      </c>
      <c r="G47" s="20">
        <v>70</v>
      </c>
      <c r="H47" s="19">
        <v>84</v>
      </c>
      <c r="I47" s="19">
        <v>100</v>
      </c>
      <c r="J47" s="19">
        <v>39</v>
      </c>
      <c r="K47" s="21">
        <v>7.43</v>
      </c>
    </row>
    <row r="48" spans="1:11" x14ac:dyDescent="0.35">
      <c r="A48" s="16" t="s">
        <v>114</v>
      </c>
      <c r="B48" s="16" t="s">
        <v>115</v>
      </c>
      <c r="C48" s="16" t="s">
        <v>18</v>
      </c>
      <c r="D48" s="16" t="s">
        <v>57</v>
      </c>
      <c r="E48" s="16" t="s">
        <v>20</v>
      </c>
      <c r="F48" s="16">
        <v>6</v>
      </c>
      <c r="G48" s="17">
        <v>99</v>
      </c>
      <c r="H48" s="16">
        <v>58</v>
      </c>
      <c r="I48" s="16">
        <v>89</v>
      </c>
      <c r="J48" s="16">
        <v>66</v>
      </c>
      <c r="K48" s="18">
        <v>7.1</v>
      </c>
    </row>
    <row r="49" spans="1:11" x14ac:dyDescent="0.35">
      <c r="A49" s="19" t="s">
        <v>116</v>
      </c>
      <c r="B49" s="19" t="s">
        <v>117</v>
      </c>
      <c r="C49" s="19" t="s">
        <v>18</v>
      </c>
      <c r="D49" s="19" t="s">
        <v>57</v>
      </c>
      <c r="E49" s="19" t="s">
        <v>24</v>
      </c>
      <c r="F49" s="19">
        <v>1</v>
      </c>
      <c r="G49" s="20">
        <v>78</v>
      </c>
      <c r="H49" s="19">
        <v>90</v>
      </c>
      <c r="I49" s="19">
        <v>95</v>
      </c>
      <c r="J49" s="19">
        <v>39</v>
      </c>
      <c r="K49" s="21">
        <v>7.47</v>
      </c>
    </row>
    <row r="50" spans="1:11" x14ac:dyDescent="0.35">
      <c r="A50" s="16" t="s">
        <v>118</v>
      </c>
      <c r="B50" s="16" t="s">
        <v>119</v>
      </c>
      <c r="C50" s="16" t="s">
        <v>18</v>
      </c>
      <c r="D50" s="16" t="s">
        <v>57</v>
      </c>
      <c r="E50" s="16" t="s">
        <v>39</v>
      </c>
      <c r="F50" s="16">
        <v>3</v>
      </c>
      <c r="G50" s="17">
        <v>62</v>
      </c>
      <c r="H50" s="16">
        <v>94</v>
      </c>
      <c r="I50" s="16">
        <v>79</v>
      </c>
      <c r="J50" s="16">
        <v>52</v>
      </c>
      <c r="K50" s="18">
        <v>7.5</v>
      </c>
    </row>
    <row r="51" spans="1:11" x14ac:dyDescent="0.35">
      <c r="A51" s="19" t="s">
        <v>120</v>
      </c>
      <c r="B51" s="19" t="s">
        <v>121</v>
      </c>
      <c r="C51" s="19" t="s">
        <v>13</v>
      </c>
      <c r="D51" s="19" t="s">
        <v>23</v>
      </c>
      <c r="E51" s="19" t="s">
        <v>46</v>
      </c>
      <c r="F51" s="19">
        <v>1</v>
      </c>
      <c r="G51" s="20">
        <v>69</v>
      </c>
      <c r="H51" s="19">
        <v>93</v>
      </c>
      <c r="I51" s="19">
        <v>98</v>
      </c>
      <c r="J51" s="19">
        <v>69</v>
      </c>
      <c r="K51" s="21">
        <v>8.67</v>
      </c>
    </row>
    <row r="52" spans="1:11" x14ac:dyDescent="0.35">
      <c r="A52" s="16" t="s">
        <v>122</v>
      </c>
      <c r="B52" s="16" t="s">
        <v>123</v>
      </c>
      <c r="C52" s="16" t="s">
        <v>13</v>
      </c>
      <c r="D52" s="16" t="s">
        <v>23</v>
      </c>
      <c r="E52" s="16" t="s">
        <v>15</v>
      </c>
      <c r="F52" s="16">
        <v>1</v>
      </c>
      <c r="G52" s="17">
        <v>86</v>
      </c>
      <c r="H52" s="16">
        <v>61</v>
      </c>
      <c r="I52" s="16">
        <v>47</v>
      </c>
      <c r="J52" s="16">
        <v>77</v>
      </c>
      <c r="K52" s="18">
        <v>6.17</v>
      </c>
    </row>
    <row r="53" spans="1:11" x14ac:dyDescent="0.35">
      <c r="A53" s="19" t="s">
        <v>124</v>
      </c>
      <c r="B53" s="19" t="s">
        <v>125</v>
      </c>
      <c r="C53" s="19" t="s">
        <v>18</v>
      </c>
      <c r="D53" s="19" t="s">
        <v>23</v>
      </c>
      <c r="E53" s="19" t="s">
        <v>24</v>
      </c>
      <c r="F53" s="19">
        <v>8</v>
      </c>
      <c r="G53" s="20">
        <v>81</v>
      </c>
      <c r="H53" s="19">
        <v>66</v>
      </c>
      <c r="I53" s="19">
        <v>48</v>
      </c>
      <c r="J53" s="19">
        <v>79</v>
      </c>
      <c r="K53" s="21">
        <v>6.43</v>
      </c>
    </row>
    <row r="54" spans="1:11" x14ac:dyDescent="0.35">
      <c r="A54" s="16" t="s">
        <v>126</v>
      </c>
      <c r="B54" s="16" t="s">
        <v>127</v>
      </c>
      <c r="C54" s="16" t="s">
        <v>18</v>
      </c>
      <c r="D54" s="16" t="s">
        <v>19</v>
      </c>
      <c r="E54" s="16" t="s">
        <v>24</v>
      </c>
      <c r="F54" s="16">
        <v>5</v>
      </c>
      <c r="G54" s="17">
        <v>79</v>
      </c>
      <c r="H54" s="16">
        <v>99</v>
      </c>
      <c r="I54" s="16">
        <v>99</v>
      </c>
      <c r="J54" s="16">
        <v>65</v>
      </c>
      <c r="K54" s="18">
        <v>8.77</v>
      </c>
    </row>
    <row r="55" spans="1:11" x14ac:dyDescent="0.35">
      <c r="A55" s="19" t="s">
        <v>128</v>
      </c>
      <c r="B55" s="19" t="s">
        <v>129</v>
      </c>
      <c r="C55" s="19" t="s">
        <v>13</v>
      </c>
      <c r="D55" s="19" t="s">
        <v>19</v>
      </c>
      <c r="E55" s="19" t="s">
        <v>46</v>
      </c>
      <c r="F55" s="19">
        <v>6</v>
      </c>
      <c r="G55" s="20">
        <v>72</v>
      </c>
      <c r="H55" s="19">
        <v>60</v>
      </c>
      <c r="I55" s="19">
        <v>88</v>
      </c>
      <c r="J55" s="19">
        <v>50</v>
      </c>
      <c r="K55" s="21">
        <v>6.6</v>
      </c>
    </row>
    <row r="56" spans="1:11" x14ac:dyDescent="0.35">
      <c r="A56" s="16" t="s">
        <v>130</v>
      </c>
      <c r="B56" s="16" t="s">
        <v>131</v>
      </c>
      <c r="C56" s="16" t="s">
        <v>18</v>
      </c>
      <c r="D56" s="16" t="s">
        <v>19</v>
      </c>
      <c r="E56" s="16" t="s">
        <v>39</v>
      </c>
      <c r="F56" s="16">
        <v>6</v>
      </c>
      <c r="G56" s="17">
        <v>66</v>
      </c>
      <c r="H56" s="16">
        <v>91</v>
      </c>
      <c r="I56" s="16">
        <v>70</v>
      </c>
      <c r="J56" s="16">
        <v>70</v>
      </c>
      <c r="K56" s="18">
        <v>7.7</v>
      </c>
    </row>
    <row r="57" spans="1:11" x14ac:dyDescent="0.35">
      <c r="A57" s="19" t="s">
        <v>132</v>
      </c>
      <c r="B57" s="19" t="s">
        <v>133</v>
      </c>
      <c r="C57" s="19" t="s">
        <v>13</v>
      </c>
      <c r="D57" s="19" t="s">
        <v>14</v>
      </c>
      <c r="E57" s="19" t="s">
        <v>15</v>
      </c>
      <c r="F57" s="19">
        <v>5</v>
      </c>
      <c r="G57" s="20">
        <v>70</v>
      </c>
      <c r="H57" s="19">
        <v>67</v>
      </c>
      <c r="I57" s="19">
        <v>40</v>
      </c>
      <c r="J57" s="19">
        <v>85</v>
      </c>
      <c r="K57" s="21">
        <v>6.4</v>
      </c>
    </row>
    <row r="58" spans="1:11" x14ac:dyDescent="0.35">
      <c r="A58" s="16" t="s">
        <v>134</v>
      </c>
      <c r="B58" s="16" t="s">
        <v>135</v>
      </c>
      <c r="C58" s="16" t="s">
        <v>13</v>
      </c>
      <c r="D58" s="16" t="s">
        <v>14</v>
      </c>
      <c r="E58" s="16" t="s">
        <v>39</v>
      </c>
      <c r="F58" s="16">
        <v>1</v>
      </c>
      <c r="G58" s="17">
        <v>100</v>
      </c>
      <c r="H58" s="16">
        <v>85</v>
      </c>
      <c r="I58" s="16">
        <v>45</v>
      </c>
      <c r="J58" s="16">
        <v>67</v>
      </c>
      <c r="K58" s="18">
        <v>6.57</v>
      </c>
    </row>
    <row r="59" spans="1:11" x14ac:dyDescent="0.35">
      <c r="A59" s="19" t="s">
        <v>136</v>
      </c>
      <c r="B59" s="19" t="s">
        <v>137</v>
      </c>
      <c r="C59" s="19" t="s">
        <v>13</v>
      </c>
      <c r="D59" s="19" t="s">
        <v>57</v>
      </c>
      <c r="E59" s="19" t="s">
        <v>24</v>
      </c>
      <c r="F59" s="19">
        <v>1</v>
      </c>
      <c r="G59" s="20">
        <v>73</v>
      </c>
      <c r="H59" s="19">
        <v>80</v>
      </c>
      <c r="I59" s="19">
        <v>95</v>
      </c>
      <c r="J59" s="19">
        <v>68</v>
      </c>
      <c r="K59" s="21">
        <v>8.1</v>
      </c>
    </row>
    <row r="60" spans="1:11" x14ac:dyDescent="0.35">
      <c r="A60" s="16" t="s">
        <v>138</v>
      </c>
      <c r="B60" s="16" t="s">
        <v>139</v>
      </c>
      <c r="C60" s="16" t="s">
        <v>18</v>
      </c>
      <c r="D60" s="16" t="s">
        <v>14</v>
      </c>
      <c r="E60" s="16" t="s">
        <v>39</v>
      </c>
      <c r="F60" s="16">
        <v>6</v>
      </c>
      <c r="G60" s="17">
        <v>97</v>
      </c>
      <c r="H60" s="16">
        <v>61</v>
      </c>
      <c r="I60" s="16">
        <v>97</v>
      </c>
      <c r="J60" s="16">
        <v>79</v>
      </c>
      <c r="K60" s="18">
        <v>7.9</v>
      </c>
    </row>
    <row r="61" spans="1:11" x14ac:dyDescent="0.35">
      <c r="A61" s="19" t="s">
        <v>140</v>
      </c>
      <c r="B61" s="19" t="s">
        <v>141</v>
      </c>
      <c r="C61" s="19" t="s">
        <v>18</v>
      </c>
      <c r="D61" s="19" t="s">
        <v>57</v>
      </c>
      <c r="E61" s="19" t="s">
        <v>15</v>
      </c>
      <c r="F61" s="19">
        <v>7</v>
      </c>
      <c r="G61" s="20">
        <v>81</v>
      </c>
      <c r="H61" s="19">
        <v>86</v>
      </c>
      <c r="I61" s="19">
        <v>57</v>
      </c>
      <c r="J61" s="19">
        <v>40</v>
      </c>
      <c r="K61" s="21">
        <v>6.1</v>
      </c>
    </row>
    <row r="62" spans="1:11" x14ac:dyDescent="0.35">
      <c r="A62" s="16" t="s">
        <v>142</v>
      </c>
      <c r="B62" s="16" t="s">
        <v>143</v>
      </c>
      <c r="C62" s="16" t="s">
        <v>18</v>
      </c>
      <c r="D62" s="16" t="s">
        <v>14</v>
      </c>
      <c r="E62" s="16" t="s">
        <v>39</v>
      </c>
      <c r="F62" s="16">
        <v>3</v>
      </c>
      <c r="G62" s="17">
        <v>75</v>
      </c>
      <c r="H62" s="16">
        <v>72</v>
      </c>
      <c r="I62" s="16">
        <v>77</v>
      </c>
      <c r="J62" s="16">
        <v>59</v>
      </c>
      <c r="K62" s="18">
        <v>6.93</v>
      </c>
    </row>
    <row r="63" spans="1:11" x14ac:dyDescent="0.35">
      <c r="A63" s="19" t="s">
        <v>144</v>
      </c>
      <c r="B63" s="19" t="s">
        <v>145</v>
      </c>
      <c r="C63" s="19" t="s">
        <v>18</v>
      </c>
      <c r="D63" s="19" t="s">
        <v>19</v>
      </c>
      <c r="E63" s="19" t="s">
        <v>20</v>
      </c>
      <c r="F63" s="19">
        <v>7</v>
      </c>
      <c r="G63" s="20">
        <v>97</v>
      </c>
      <c r="H63" s="19">
        <v>100</v>
      </c>
      <c r="I63" s="19">
        <v>72</v>
      </c>
      <c r="J63" s="19">
        <v>88</v>
      </c>
      <c r="K63" s="21">
        <v>8.67</v>
      </c>
    </row>
    <row r="64" spans="1:11" x14ac:dyDescent="0.35">
      <c r="A64" s="16" t="s">
        <v>146</v>
      </c>
      <c r="B64" s="16" t="s">
        <v>147</v>
      </c>
      <c r="C64" s="16" t="s">
        <v>18</v>
      </c>
      <c r="D64" s="16" t="s">
        <v>57</v>
      </c>
      <c r="E64" s="16" t="s">
        <v>15</v>
      </c>
      <c r="F64" s="16">
        <v>4</v>
      </c>
      <c r="G64" s="17">
        <v>60</v>
      </c>
      <c r="H64" s="16">
        <v>52</v>
      </c>
      <c r="I64" s="16">
        <v>45</v>
      </c>
      <c r="J64" s="16">
        <v>79</v>
      </c>
      <c r="K64" s="18">
        <v>5.87</v>
      </c>
    </row>
    <row r="65" spans="1:11" x14ac:dyDescent="0.35">
      <c r="A65" s="19" t="s">
        <v>148</v>
      </c>
      <c r="B65" s="19" t="s">
        <v>149</v>
      </c>
      <c r="C65" s="19" t="s">
        <v>18</v>
      </c>
      <c r="D65" s="19" t="s">
        <v>14</v>
      </c>
      <c r="E65" s="19" t="s">
        <v>15</v>
      </c>
      <c r="F65" s="19">
        <v>3</v>
      </c>
      <c r="G65" s="20">
        <v>95</v>
      </c>
      <c r="H65" s="19">
        <v>66</v>
      </c>
      <c r="I65" s="19">
        <v>65</v>
      </c>
      <c r="J65" s="19">
        <v>83</v>
      </c>
      <c r="K65" s="21">
        <v>7.13</v>
      </c>
    </row>
    <row r="66" spans="1:11" x14ac:dyDescent="0.35">
      <c r="A66" s="16" t="s">
        <v>150</v>
      </c>
      <c r="B66" s="16" t="s">
        <v>151</v>
      </c>
      <c r="C66" s="16" t="s">
        <v>13</v>
      </c>
      <c r="D66" s="16" t="s">
        <v>14</v>
      </c>
      <c r="E66" s="16" t="s">
        <v>39</v>
      </c>
      <c r="F66" s="16">
        <v>4</v>
      </c>
      <c r="G66" s="17">
        <v>65</v>
      </c>
      <c r="H66" s="16">
        <v>86</v>
      </c>
      <c r="I66" s="16">
        <v>71</v>
      </c>
      <c r="J66" s="16">
        <v>82</v>
      </c>
      <c r="K66" s="18">
        <v>7.97</v>
      </c>
    </row>
    <row r="67" spans="1:11" x14ac:dyDescent="0.35">
      <c r="A67" s="19" t="s">
        <v>152</v>
      </c>
      <c r="B67" s="19" t="s">
        <v>153</v>
      </c>
      <c r="C67" s="19" t="s">
        <v>18</v>
      </c>
      <c r="D67" s="19" t="s">
        <v>57</v>
      </c>
      <c r="E67" s="19" t="s">
        <v>20</v>
      </c>
      <c r="F67" s="19">
        <v>3</v>
      </c>
      <c r="G67" s="20">
        <v>71</v>
      </c>
      <c r="H67" s="19">
        <v>57</v>
      </c>
      <c r="I67" s="19">
        <v>72</v>
      </c>
      <c r="J67" s="19">
        <v>39</v>
      </c>
      <c r="K67" s="21">
        <v>5.6</v>
      </c>
    </row>
    <row r="68" spans="1:11" x14ac:dyDescent="0.35">
      <c r="A68" s="16" t="s">
        <v>154</v>
      </c>
      <c r="B68" s="16" t="s">
        <v>155</v>
      </c>
      <c r="C68" s="16" t="s">
        <v>18</v>
      </c>
      <c r="D68" s="16" t="s">
        <v>23</v>
      </c>
      <c r="E68" s="16" t="s">
        <v>20</v>
      </c>
      <c r="F68" s="16">
        <v>7</v>
      </c>
      <c r="G68" s="17">
        <v>62</v>
      </c>
      <c r="H68" s="16">
        <v>89</v>
      </c>
      <c r="I68" s="16">
        <v>66</v>
      </c>
      <c r="J68" s="16">
        <v>80</v>
      </c>
      <c r="K68" s="18">
        <v>7.83</v>
      </c>
    </row>
    <row r="69" spans="1:11" x14ac:dyDescent="0.35">
      <c r="A69" s="19" t="s">
        <v>156</v>
      </c>
      <c r="B69" s="19" t="s">
        <v>157</v>
      </c>
      <c r="C69" s="19" t="s">
        <v>13</v>
      </c>
      <c r="D69" s="19" t="s">
        <v>57</v>
      </c>
      <c r="E69" s="19" t="s">
        <v>46</v>
      </c>
      <c r="F69" s="19">
        <v>1</v>
      </c>
      <c r="G69" s="20">
        <v>88</v>
      </c>
      <c r="H69" s="19">
        <v>67</v>
      </c>
      <c r="I69" s="19">
        <v>90</v>
      </c>
      <c r="J69" s="19">
        <v>63</v>
      </c>
      <c r="K69" s="21">
        <v>7.33</v>
      </c>
    </row>
    <row r="70" spans="1:11" x14ac:dyDescent="0.35">
      <c r="A70" s="16" t="s">
        <v>158</v>
      </c>
      <c r="B70" s="16" t="s">
        <v>159</v>
      </c>
      <c r="C70" s="16" t="s">
        <v>13</v>
      </c>
      <c r="D70" s="16" t="s">
        <v>19</v>
      </c>
      <c r="E70" s="16" t="s">
        <v>46</v>
      </c>
      <c r="F70" s="16">
        <v>7</v>
      </c>
      <c r="G70" s="17">
        <v>90</v>
      </c>
      <c r="H70" s="16">
        <v>67</v>
      </c>
      <c r="I70" s="16">
        <v>67</v>
      </c>
      <c r="J70" s="16">
        <v>48</v>
      </c>
      <c r="K70" s="18">
        <v>6.07</v>
      </c>
    </row>
    <row r="71" spans="1:11" x14ac:dyDescent="0.35">
      <c r="A71" s="19" t="s">
        <v>160</v>
      </c>
      <c r="B71" s="19" t="s">
        <v>161</v>
      </c>
      <c r="C71" s="19" t="s">
        <v>18</v>
      </c>
      <c r="D71" s="19" t="s">
        <v>14</v>
      </c>
      <c r="E71" s="19" t="s">
        <v>39</v>
      </c>
      <c r="F71" s="19">
        <v>1</v>
      </c>
      <c r="G71" s="20">
        <v>100</v>
      </c>
      <c r="H71" s="19">
        <v>82</v>
      </c>
      <c r="I71" s="19">
        <v>78</v>
      </c>
      <c r="J71" s="19">
        <v>83</v>
      </c>
      <c r="K71" s="21">
        <v>8.1</v>
      </c>
    </row>
    <row r="72" spans="1:11" x14ac:dyDescent="0.35">
      <c r="A72" s="16" t="s">
        <v>162</v>
      </c>
      <c r="B72" s="16" t="s">
        <v>163</v>
      </c>
      <c r="C72" s="16" t="s">
        <v>18</v>
      </c>
      <c r="D72" s="16" t="s">
        <v>19</v>
      </c>
      <c r="E72" s="16" t="s">
        <v>39</v>
      </c>
      <c r="F72" s="16">
        <v>3</v>
      </c>
      <c r="G72" s="17">
        <v>69</v>
      </c>
      <c r="H72" s="16">
        <v>77</v>
      </c>
      <c r="I72" s="16">
        <v>90</v>
      </c>
      <c r="J72" s="16">
        <v>84</v>
      </c>
      <c r="K72" s="18">
        <v>8.3699999999999992</v>
      </c>
    </row>
    <row r="73" spans="1:11" x14ac:dyDescent="0.35">
      <c r="A73" s="19" t="s">
        <v>164</v>
      </c>
      <c r="B73" s="19" t="s">
        <v>165</v>
      </c>
      <c r="C73" s="19" t="s">
        <v>13</v>
      </c>
      <c r="D73" s="19" t="s">
        <v>19</v>
      </c>
      <c r="E73" s="19" t="s">
        <v>46</v>
      </c>
      <c r="F73" s="19">
        <v>7</v>
      </c>
      <c r="G73" s="20">
        <v>79</v>
      </c>
      <c r="H73" s="19">
        <v>96</v>
      </c>
      <c r="I73" s="19">
        <v>48</v>
      </c>
      <c r="J73" s="19">
        <v>91</v>
      </c>
      <c r="K73" s="21">
        <v>7.83</v>
      </c>
    </row>
    <row r="74" spans="1:11" x14ac:dyDescent="0.35">
      <c r="A74" s="16" t="s">
        <v>166</v>
      </c>
      <c r="B74" s="16" t="s">
        <v>167</v>
      </c>
      <c r="C74" s="16" t="s">
        <v>18</v>
      </c>
      <c r="D74" s="16" t="s">
        <v>57</v>
      </c>
      <c r="E74" s="16" t="s">
        <v>24</v>
      </c>
      <c r="F74" s="16">
        <v>3</v>
      </c>
      <c r="G74" s="17">
        <v>92</v>
      </c>
      <c r="H74" s="16">
        <v>71</v>
      </c>
      <c r="I74" s="16">
        <v>71</v>
      </c>
      <c r="J74" s="16">
        <v>77</v>
      </c>
      <c r="K74" s="18">
        <v>7.3</v>
      </c>
    </row>
    <row r="75" spans="1:11" x14ac:dyDescent="0.35">
      <c r="A75" s="19" t="s">
        <v>168</v>
      </c>
      <c r="B75" s="19" t="s">
        <v>169</v>
      </c>
      <c r="C75" s="19" t="s">
        <v>18</v>
      </c>
      <c r="D75" s="19" t="s">
        <v>14</v>
      </c>
      <c r="E75" s="19" t="s">
        <v>39</v>
      </c>
      <c r="F75" s="19">
        <v>5</v>
      </c>
      <c r="G75" s="20">
        <v>61</v>
      </c>
      <c r="H75" s="19">
        <v>94</v>
      </c>
      <c r="I75" s="19">
        <v>52</v>
      </c>
      <c r="J75" s="19">
        <v>65</v>
      </c>
      <c r="K75" s="21">
        <v>7.03</v>
      </c>
    </row>
    <row r="76" spans="1:11" x14ac:dyDescent="0.35">
      <c r="A76" s="16" t="s">
        <v>170</v>
      </c>
      <c r="B76" s="16" t="s">
        <v>171</v>
      </c>
      <c r="C76" s="16" t="s">
        <v>13</v>
      </c>
      <c r="D76" s="16" t="s">
        <v>14</v>
      </c>
      <c r="E76" s="16" t="s">
        <v>24</v>
      </c>
      <c r="F76" s="16">
        <v>7</v>
      </c>
      <c r="G76" s="17">
        <v>80</v>
      </c>
      <c r="H76" s="16">
        <v>56</v>
      </c>
      <c r="I76" s="16">
        <v>83</v>
      </c>
      <c r="J76" s="16">
        <v>86</v>
      </c>
      <c r="K76" s="18">
        <v>7.5</v>
      </c>
    </row>
    <row r="77" spans="1:11" x14ac:dyDescent="0.35">
      <c r="A77" s="19" t="s">
        <v>172</v>
      </c>
      <c r="B77" s="19" t="s">
        <v>173</v>
      </c>
      <c r="C77" s="19" t="s">
        <v>18</v>
      </c>
      <c r="D77" s="19" t="s">
        <v>23</v>
      </c>
      <c r="E77" s="19" t="s">
        <v>20</v>
      </c>
      <c r="F77" s="19">
        <v>7</v>
      </c>
      <c r="G77" s="20">
        <v>89</v>
      </c>
      <c r="H77" s="19">
        <v>79</v>
      </c>
      <c r="I77" s="19">
        <v>65</v>
      </c>
      <c r="J77" s="19">
        <v>80</v>
      </c>
      <c r="K77" s="21">
        <v>7.47</v>
      </c>
    </row>
    <row r="78" spans="1:11" x14ac:dyDescent="0.35">
      <c r="A78" s="16" t="s">
        <v>174</v>
      </c>
      <c r="B78" s="16" t="s">
        <v>175</v>
      </c>
      <c r="C78" s="16" t="s">
        <v>18</v>
      </c>
      <c r="D78" s="16" t="s">
        <v>23</v>
      </c>
      <c r="E78" s="16" t="s">
        <v>20</v>
      </c>
      <c r="F78" s="16">
        <v>7</v>
      </c>
      <c r="G78" s="17">
        <v>86</v>
      </c>
      <c r="H78" s="16">
        <v>92</v>
      </c>
      <c r="I78" s="16">
        <v>100</v>
      </c>
      <c r="J78" s="16">
        <v>87</v>
      </c>
      <c r="K78" s="18">
        <v>9.3000000000000007</v>
      </c>
    </row>
    <row r="79" spans="1:11" x14ac:dyDescent="0.35">
      <c r="A79" s="19" t="s">
        <v>176</v>
      </c>
      <c r="B79" s="19" t="s">
        <v>177</v>
      </c>
      <c r="C79" s="19" t="s">
        <v>13</v>
      </c>
      <c r="D79" s="19" t="s">
        <v>19</v>
      </c>
      <c r="E79" s="19" t="s">
        <v>39</v>
      </c>
      <c r="F79" s="19">
        <v>2</v>
      </c>
      <c r="G79" s="20">
        <v>72</v>
      </c>
      <c r="H79" s="19">
        <v>69</v>
      </c>
      <c r="I79" s="19">
        <v>55</v>
      </c>
      <c r="J79" s="19">
        <v>76</v>
      </c>
      <c r="K79" s="21">
        <v>6.67</v>
      </c>
    </row>
    <row r="80" spans="1:11" x14ac:dyDescent="0.35">
      <c r="A80" s="16" t="s">
        <v>178</v>
      </c>
      <c r="B80" s="16" t="s">
        <v>179</v>
      </c>
      <c r="C80" s="16" t="s">
        <v>18</v>
      </c>
      <c r="D80" s="16" t="s">
        <v>14</v>
      </c>
      <c r="E80" s="16" t="s">
        <v>15</v>
      </c>
      <c r="F80" s="16">
        <v>8</v>
      </c>
      <c r="G80" s="17">
        <v>65</v>
      </c>
      <c r="H80" s="16">
        <v>60</v>
      </c>
      <c r="I80" s="16">
        <v>86</v>
      </c>
      <c r="J80" s="16">
        <v>42</v>
      </c>
      <c r="K80" s="18">
        <v>6.27</v>
      </c>
    </row>
    <row r="81" spans="1:11" x14ac:dyDescent="0.35">
      <c r="A81" s="19" t="s">
        <v>180</v>
      </c>
      <c r="B81" s="19" t="s">
        <v>181</v>
      </c>
      <c r="C81" s="19" t="s">
        <v>13</v>
      </c>
      <c r="D81" s="19" t="s">
        <v>14</v>
      </c>
      <c r="E81" s="19" t="s">
        <v>15</v>
      </c>
      <c r="F81" s="19">
        <v>4</v>
      </c>
      <c r="G81" s="20">
        <v>64</v>
      </c>
      <c r="H81" s="19">
        <v>53</v>
      </c>
      <c r="I81" s="19">
        <v>57</v>
      </c>
      <c r="J81" s="19">
        <v>80</v>
      </c>
      <c r="K81" s="21">
        <v>6.33</v>
      </c>
    </row>
    <row r="82" spans="1:11" x14ac:dyDescent="0.35">
      <c r="A82" s="16" t="s">
        <v>182</v>
      </c>
      <c r="B82" s="16" t="s">
        <v>183</v>
      </c>
      <c r="C82" s="16" t="s">
        <v>18</v>
      </c>
      <c r="D82" s="16" t="s">
        <v>57</v>
      </c>
      <c r="E82" s="16" t="s">
        <v>24</v>
      </c>
      <c r="F82" s="16">
        <v>4</v>
      </c>
      <c r="G82" s="17">
        <v>91</v>
      </c>
      <c r="H82" s="16">
        <v>91</v>
      </c>
      <c r="I82" s="16">
        <v>86</v>
      </c>
      <c r="J82" s="16">
        <v>85</v>
      </c>
      <c r="K82" s="18">
        <v>8.73</v>
      </c>
    </row>
    <row r="83" spans="1:11" x14ac:dyDescent="0.35">
      <c r="A83" s="19" t="s">
        <v>184</v>
      </c>
      <c r="B83" s="19" t="s">
        <v>185</v>
      </c>
      <c r="C83" s="19" t="s">
        <v>18</v>
      </c>
      <c r="D83" s="19" t="s">
        <v>23</v>
      </c>
      <c r="E83" s="19" t="s">
        <v>20</v>
      </c>
      <c r="F83" s="19">
        <v>4</v>
      </c>
      <c r="G83" s="20">
        <v>96</v>
      </c>
      <c r="H83" s="19">
        <v>65</v>
      </c>
      <c r="I83" s="19">
        <v>56</v>
      </c>
      <c r="J83" s="19">
        <v>44</v>
      </c>
      <c r="K83" s="21">
        <v>5.5</v>
      </c>
    </row>
    <row r="84" spans="1:11" x14ac:dyDescent="0.35">
      <c r="A84" s="16" t="s">
        <v>186</v>
      </c>
      <c r="B84" s="16" t="s">
        <v>187</v>
      </c>
      <c r="C84" s="16" t="s">
        <v>13</v>
      </c>
      <c r="D84" s="16" t="s">
        <v>57</v>
      </c>
      <c r="E84" s="16" t="s">
        <v>39</v>
      </c>
      <c r="F84" s="16">
        <v>1</v>
      </c>
      <c r="G84" s="17">
        <v>79</v>
      </c>
      <c r="H84" s="16">
        <v>51</v>
      </c>
      <c r="I84" s="16">
        <v>57</v>
      </c>
      <c r="J84" s="16">
        <v>74</v>
      </c>
      <c r="K84" s="18">
        <v>6.07</v>
      </c>
    </row>
    <row r="85" spans="1:11" x14ac:dyDescent="0.35">
      <c r="A85" s="19" t="s">
        <v>188</v>
      </c>
      <c r="B85" s="19" t="s">
        <v>189</v>
      </c>
      <c r="C85" s="19" t="s">
        <v>13</v>
      </c>
      <c r="D85" s="19" t="s">
        <v>14</v>
      </c>
      <c r="E85" s="19" t="s">
        <v>39</v>
      </c>
      <c r="F85" s="19">
        <v>4</v>
      </c>
      <c r="G85" s="20">
        <v>84</v>
      </c>
      <c r="H85" s="19">
        <v>50</v>
      </c>
      <c r="I85" s="19">
        <v>52</v>
      </c>
      <c r="J85" s="19">
        <v>81</v>
      </c>
      <c r="K85" s="21">
        <v>6.1</v>
      </c>
    </row>
    <row r="86" spans="1:11" x14ac:dyDescent="0.35">
      <c r="A86" s="16" t="s">
        <v>190</v>
      </c>
      <c r="B86" s="16" t="s">
        <v>191</v>
      </c>
      <c r="C86" s="16" t="s">
        <v>13</v>
      </c>
      <c r="D86" s="16" t="s">
        <v>57</v>
      </c>
      <c r="E86" s="16" t="s">
        <v>46</v>
      </c>
      <c r="F86" s="16">
        <v>5</v>
      </c>
      <c r="G86" s="17">
        <v>81</v>
      </c>
      <c r="H86" s="16">
        <v>100</v>
      </c>
      <c r="I86" s="16">
        <v>45</v>
      </c>
      <c r="J86" s="16">
        <v>64</v>
      </c>
      <c r="K86" s="18">
        <v>6.97</v>
      </c>
    </row>
    <row r="87" spans="1:11" x14ac:dyDescent="0.35">
      <c r="A87" s="19" t="s">
        <v>192</v>
      </c>
      <c r="B87" s="19" t="s">
        <v>193</v>
      </c>
      <c r="C87" s="19" t="s">
        <v>18</v>
      </c>
      <c r="D87" s="19" t="s">
        <v>23</v>
      </c>
      <c r="E87" s="19" t="s">
        <v>46</v>
      </c>
      <c r="F87" s="19">
        <v>1</v>
      </c>
      <c r="G87" s="20">
        <v>98</v>
      </c>
      <c r="H87" s="19">
        <v>56</v>
      </c>
      <c r="I87" s="19">
        <v>61</v>
      </c>
      <c r="J87" s="19">
        <v>70</v>
      </c>
      <c r="K87" s="21">
        <v>6.23</v>
      </c>
    </row>
    <row r="88" spans="1:11" x14ac:dyDescent="0.35">
      <c r="A88" s="16" t="s">
        <v>194</v>
      </c>
      <c r="B88" s="16" t="s">
        <v>195</v>
      </c>
      <c r="C88" s="16" t="s">
        <v>13</v>
      </c>
      <c r="D88" s="16" t="s">
        <v>14</v>
      </c>
      <c r="E88" s="16" t="s">
        <v>39</v>
      </c>
      <c r="F88" s="16">
        <v>3</v>
      </c>
      <c r="G88" s="17">
        <v>75</v>
      </c>
      <c r="H88" s="16">
        <v>67</v>
      </c>
      <c r="I88" s="16">
        <v>93</v>
      </c>
      <c r="J88" s="16">
        <v>55</v>
      </c>
      <c r="K88" s="18">
        <v>7.17</v>
      </c>
    </row>
    <row r="89" spans="1:11" x14ac:dyDescent="0.35">
      <c r="A89" s="19" t="s">
        <v>196</v>
      </c>
      <c r="B89" s="19" t="s">
        <v>197</v>
      </c>
      <c r="C89" s="19" t="s">
        <v>13</v>
      </c>
      <c r="D89" s="19" t="s">
        <v>57</v>
      </c>
      <c r="E89" s="19" t="s">
        <v>39</v>
      </c>
      <c r="F89" s="19">
        <v>1</v>
      </c>
      <c r="G89" s="20">
        <v>74</v>
      </c>
      <c r="H89" s="19">
        <v>94</v>
      </c>
      <c r="I89" s="19">
        <v>60</v>
      </c>
      <c r="J89" s="19">
        <v>70</v>
      </c>
      <c r="K89" s="21">
        <v>7.47</v>
      </c>
    </row>
    <row r="90" spans="1:11" x14ac:dyDescent="0.35">
      <c r="A90" s="16" t="s">
        <v>198</v>
      </c>
      <c r="B90" s="16" t="s">
        <v>199</v>
      </c>
      <c r="C90" s="16" t="s">
        <v>18</v>
      </c>
      <c r="D90" s="16" t="s">
        <v>23</v>
      </c>
      <c r="E90" s="16" t="s">
        <v>24</v>
      </c>
      <c r="F90" s="16">
        <v>1</v>
      </c>
      <c r="G90" s="17">
        <v>70</v>
      </c>
      <c r="H90" s="16">
        <v>80</v>
      </c>
      <c r="I90" s="16">
        <v>54</v>
      </c>
      <c r="J90" s="16">
        <v>84</v>
      </c>
      <c r="K90" s="18">
        <v>7.27</v>
      </c>
    </row>
    <row r="91" spans="1:11" x14ac:dyDescent="0.35">
      <c r="A91" s="19" t="s">
        <v>200</v>
      </c>
      <c r="B91" s="19" t="s">
        <v>201</v>
      </c>
      <c r="C91" s="19" t="s">
        <v>13</v>
      </c>
      <c r="D91" s="19" t="s">
        <v>23</v>
      </c>
      <c r="E91" s="19" t="s">
        <v>46</v>
      </c>
      <c r="F91" s="19">
        <v>5</v>
      </c>
      <c r="G91" s="20">
        <v>81</v>
      </c>
      <c r="H91" s="19">
        <v>95</v>
      </c>
      <c r="I91" s="19">
        <v>88</v>
      </c>
      <c r="J91" s="19">
        <v>90</v>
      </c>
      <c r="K91" s="21">
        <v>9.1</v>
      </c>
    </row>
    <row r="92" spans="1:11" x14ac:dyDescent="0.35">
      <c r="A92" s="16" t="s">
        <v>202</v>
      </c>
      <c r="B92" s="16" t="s">
        <v>203</v>
      </c>
      <c r="C92" s="16" t="s">
        <v>18</v>
      </c>
      <c r="D92" s="16" t="s">
        <v>57</v>
      </c>
      <c r="E92" s="16" t="s">
        <v>24</v>
      </c>
      <c r="F92" s="16">
        <v>4</v>
      </c>
      <c r="G92" s="17">
        <v>69</v>
      </c>
      <c r="H92" s="16">
        <v>69</v>
      </c>
      <c r="I92" s="16">
        <v>51</v>
      </c>
      <c r="J92" s="16">
        <v>38</v>
      </c>
      <c r="K92" s="18">
        <v>5.27</v>
      </c>
    </row>
    <row r="93" spans="1:11" x14ac:dyDescent="0.35">
      <c r="A93" s="19" t="s">
        <v>204</v>
      </c>
      <c r="B93" s="19" t="s">
        <v>205</v>
      </c>
      <c r="C93" s="19" t="s">
        <v>13</v>
      </c>
      <c r="D93" s="19" t="s">
        <v>57</v>
      </c>
      <c r="E93" s="19" t="s">
        <v>24</v>
      </c>
      <c r="F93" s="19">
        <v>4</v>
      </c>
      <c r="G93" s="20">
        <v>65</v>
      </c>
      <c r="H93" s="19">
        <v>89</v>
      </c>
      <c r="I93" s="19">
        <v>95</v>
      </c>
      <c r="J93" s="19">
        <v>89</v>
      </c>
      <c r="K93" s="21">
        <v>9.1</v>
      </c>
    </row>
    <row r="94" spans="1:11" x14ac:dyDescent="0.35">
      <c r="A94" s="16" t="s">
        <v>206</v>
      </c>
      <c r="B94" s="16" t="s">
        <v>207</v>
      </c>
      <c r="C94" s="16" t="s">
        <v>18</v>
      </c>
      <c r="D94" s="16" t="s">
        <v>14</v>
      </c>
      <c r="E94" s="16" t="s">
        <v>39</v>
      </c>
      <c r="F94" s="16">
        <v>4</v>
      </c>
      <c r="G94" s="17">
        <v>82</v>
      </c>
      <c r="H94" s="16">
        <v>57</v>
      </c>
      <c r="I94" s="16">
        <v>55</v>
      </c>
      <c r="J94" s="16">
        <v>54</v>
      </c>
      <c r="K94" s="18">
        <v>5.53</v>
      </c>
    </row>
    <row r="95" spans="1:11" x14ac:dyDescent="0.35">
      <c r="A95" s="19" t="s">
        <v>208</v>
      </c>
      <c r="B95" s="19" t="s">
        <v>209</v>
      </c>
      <c r="C95" s="19" t="s">
        <v>18</v>
      </c>
      <c r="D95" s="19" t="s">
        <v>57</v>
      </c>
      <c r="E95" s="19" t="s">
        <v>46</v>
      </c>
      <c r="F95" s="19">
        <v>7</v>
      </c>
      <c r="G95" s="20">
        <v>71</v>
      </c>
      <c r="H95" s="19">
        <v>59</v>
      </c>
      <c r="I95" s="19">
        <v>49</v>
      </c>
      <c r="J95" s="19">
        <v>66</v>
      </c>
      <c r="K95" s="21">
        <v>5.8</v>
      </c>
    </row>
    <row r="96" spans="1:11" x14ac:dyDescent="0.35">
      <c r="A96" s="16" t="s">
        <v>210</v>
      </c>
      <c r="B96" s="16" t="s">
        <v>211</v>
      </c>
      <c r="C96" s="16" t="s">
        <v>13</v>
      </c>
      <c r="D96" s="16" t="s">
        <v>14</v>
      </c>
      <c r="E96" s="16" t="s">
        <v>20</v>
      </c>
      <c r="F96" s="16">
        <v>7</v>
      </c>
      <c r="G96" s="17">
        <v>64</v>
      </c>
      <c r="H96" s="16">
        <v>77</v>
      </c>
      <c r="I96" s="16">
        <v>74</v>
      </c>
      <c r="J96" s="16">
        <v>60</v>
      </c>
      <c r="K96" s="18">
        <v>7.03</v>
      </c>
    </row>
    <row r="97" spans="1:11" x14ac:dyDescent="0.35">
      <c r="A97" s="19" t="s">
        <v>212</v>
      </c>
      <c r="B97" s="19" t="s">
        <v>213</v>
      </c>
      <c r="C97" s="19" t="s">
        <v>18</v>
      </c>
      <c r="D97" s="19" t="s">
        <v>23</v>
      </c>
      <c r="E97" s="19" t="s">
        <v>24</v>
      </c>
      <c r="F97" s="19">
        <v>4</v>
      </c>
      <c r="G97" s="20">
        <v>78</v>
      </c>
      <c r="H97" s="19">
        <v>60</v>
      </c>
      <c r="I97" s="19">
        <v>77</v>
      </c>
      <c r="J97" s="19">
        <v>46</v>
      </c>
      <c r="K97" s="21">
        <v>6.1</v>
      </c>
    </row>
    <row r="98" spans="1:11" x14ac:dyDescent="0.35">
      <c r="A98" s="16" t="s">
        <v>214</v>
      </c>
      <c r="B98" s="16" t="s">
        <v>215</v>
      </c>
      <c r="C98" s="16" t="s">
        <v>13</v>
      </c>
      <c r="D98" s="16" t="s">
        <v>19</v>
      </c>
      <c r="E98" s="16" t="s">
        <v>24</v>
      </c>
      <c r="F98" s="16">
        <v>4</v>
      </c>
      <c r="G98" s="17">
        <v>89</v>
      </c>
      <c r="H98" s="16">
        <v>53</v>
      </c>
      <c r="I98" s="16">
        <v>73</v>
      </c>
      <c r="J98" s="16">
        <v>67</v>
      </c>
      <c r="K98" s="18">
        <v>6.43</v>
      </c>
    </row>
    <row r="99" spans="1:11" x14ac:dyDescent="0.35">
      <c r="A99" s="19" t="s">
        <v>216</v>
      </c>
      <c r="B99" s="19" t="s">
        <v>217</v>
      </c>
      <c r="C99" s="19" t="s">
        <v>13</v>
      </c>
      <c r="D99" s="19" t="s">
        <v>57</v>
      </c>
      <c r="E99" s="19" t="s">
        <v>24</v>
      </c>
      <c r="F99" s="19">
        <v>2</v>
      </c>
      <c r="G99" s="20">
        <v>77</v>
      </c>
      <c r="H99" s="19">
        <v>66</v>
      </c>
      <c r="I99" s="19">
        <v>76</v>
      </c>
      <c r="J99" s="19">
        <v>70</v>
      </c>
      <c r="K99" s="21">
        <v>7.07</v>
      </c>
    </row>
    <row r="100" spans="1:11" x14ac:dyDescent="0.35">
      <c r="A100" s="16" t="s">
        <v>218</v>
      </c>
      <c r="B100" s="16" t="s">
        <v>219</v>
      </c>
      <c r="C100" s="16" t="s">
        <v>13</v>
      </c>
      <c r="D100" s="16" t="s">
        <v>23</v>
      </c>
      <c r="E100" s="16" t="s">
        <v>24</v>
      </c>
      <c r="F100" s="16">
        <v>4</v>
      </c>
      <c r="G100" s="17">
        <v>75</v>
      </c>
      <c r="H100" s="16">
        <v>65</v>
      </c>
      <c r="I100" s="16">
        <v>40</v>
      </c>
      <c r="J100" s="16">
        <v>94</v>
      </c>
      <c r="K100" s="18">
        <v>6.63</v>
      </c>
    </row>
    <row r="101" spans="1:11" x14ac:dyDescent="0.35">
      <c r="A101" s="19" t="s">
        <v>220</v>
      </c>
      <c r="B101" s="19" t="s">
        <v>221</v>
      </c>
      <c r="C101" s="19" t="s">
        <v>13</v>
      </c>
      <c r="D101" s="19" t="s">
        <v>57</v>
      </c>
      <c r="E101" s="19" t="s">
        <v>15</v>
      </c>
      <c r="F101" s="19">
        <v>5</v>
      </c>
      <c r="G101" s="20">
        <v>75</v>
      </c>
      <c r="H101" s="19">
        <v>81</v>
      </c>
      <c r="I101" s="19">
        <v>83</v>
      </c>
      <c r="J101" s="19">
        <v>98</v>
      </c>
      <c r="K101" s="21">
        <v>8.73</v>
      </c>
    </row>
    <row r="102" spans="1:11" x14ac:dyDescent="0.35">
      <c r="A102" s="16" t="s">
        <v>222</v>
      </c>
      <c r="B102" s="16" t="s">
        <v>223</v>
      </c>
      <c r="C102" s="16" t="s">
        <v>18</v>
      </c>
      <c r="D102" s="16" t="s">
        <v>14</v>
      </c>
      <c r="E102" s="16" t="s">
        <v>24</v>
      </c>
      <c r="F102" s="16">
        <v>6</v>
      </c>
      <c r="G102" s="17">
        <v>63</v>
      </c>
      <c r="H102" s="16">
        <v>74</v>
      </c>
      <c r="I102" s="16">
        <v>75</v>
      </c>
      <c r="J102" s="16">
        <v>59</v>
      </c>
      <c r="K102" s="18">
        <v>6.93</v>
      </c>
    </row>
    <row r="103" spans="1:11" x14ac:dyDescent="0.35">
      <c r="A103" s="19" t="s">
        <v>224</v>
      </c>
      <c r="B103" s="19" t="s">
        <v>225</v>
      </c>
      <c r="C103" s="19" t="s">
        <v>18</v>
      </c>
      <c r="D103" s="19" t="s">
        <v>19</v>
      </c>
      <c r="E103" s="19" t="s">
        <v>39</v>
      </c>
      <c r="F103" s="19">
        <v>5</v>
      </c>
      <c r="G103" s="20">
        <v>99</v>
      </c>
      <c r="H103" s="19">
        <v>85</v>
      </c>
      <c r="I103" s="19">
        <v>97</v>
      </c>
      <c r="J103" s="19">
        <v>48</v>
      </c>
      <c r="K103" s="21">
        <v>7.67</v>
      </c>
    </row>
    <row r="104" spans="1:11" x14ac:dyDescent="0.35">
      <c r="A104" s="16" t="s">
        <v>226</v>
      </c>
      <c r="B104" s="16" t="s">
        <v>227</v>
      </c>
      <c r="C104" s="16" t="s">
        <v>13</v>
      </c>
      <c r="D104" s="16" t="s">
        <v>14</v>
      </c>
      <c r="E104" s="16" t="s">
        <v>20</v>
      </c>
      <c r="F104" s="16">
        <v>7</v>
      </c>
      <c r="G104" s="17">
        <v>80</v>
      </c>
      <c r="H104" s="16">
        <v>91</v>
      </c>
      <c r="I104" s="16">
        <v>97</v>
      </c>
      <c r="J104" s="16">
        <v>81</v>
      </c>
      <c r="K104" s="18">
        <v>8.9700000000000006</v>
      </c>
    </row>
    <row r="105" spans="1:11" x14ac:dyDescent="0.35">
      <c r="A105" s="19" t="s">
        <v>228</v>
      </c>
      <c r="B105" s="19" t="s">
        <v>229</v>
      </c>
      <c r="C105" s="19" t="s">
        <v>13</v>
      </c>
      <c r="D105" s="19" t="s">
        <v>23</v>
      </c>
      <c r="E105" s="19" t="s">
        <v>46</v>
      </c>
      <c r="F105" s="19">
        <v>1</v>
      </c>
      <c r="G105" s="20">
        <v>78</v>
      </c>
      <c r="H105" s="19">
        <v>76</v>
      </c>
      <c r="I105" s="19">
        <v>91</v>
      </c>
      <c r="J105" s="19">
        <v>36</v>
      </c>
      <c r="K105" s="21">
        <v>6.77</v>
      </c>
    </row>
    <row r="106" spans="1:11" x14ac:dyDescent="0.35">
      <c r="A106" s="16" t="s">
        <v>230</v>
      </c>
      <c r="B106" s="16" t="s">
        <v>231</v>
      </c>
      <c r="C106" s="16" t="s">
        <v>18</v>
      </c>
      <c r="D106" s="16" t="s">
        <v>57</v>
      </c>
      <c r="E106" s="16" t="s">
        <v>15</v>
      </c>
      <c r="F106" s="16">
        <v>5</v>
      </c>
      <c r="G106" s="17">
        <v>76</v>
      </c>
      <c r="H106" s="16">
        <v>87</v>
      </c>
      <c r="I106" s="16">
        <v>53</v>
      </c>
      <c r="J106" s="16">
        <v>97</v>
      </c>
      <c r="K106" s="18">
        <v>7.9</v>
      </c>
    </row>
    <row r="107" spans="1:11" x14ac:dyDescent="0.35">
      <c r="A107" s="19" t="s">
        <v>232</v>
      </c>
      <c r="B107" s="19" t="s">
        <v>233</v>
      </c>
      <c r="C107" s="19" t="s">
        <v>18</v>
      </c>
      <c r="D107" s="19" t="s">
        <v>19</v>
      </c>
      <c r="E107" s="19" t="s">
        <v>24</v>
      </c>
      <c r="F107" s="19">
        <v>5</v>
      </c>
      <c r="G107" s="20">
        <v>99</v>
      </c>
      <c r="H107" s="19">
        <v>59</v>
      </c>
      <c r="I107" s="19">
        <v>96</v>
      </c>
      <c r="J107" s="19">
        <v>64</v>
      </c>
      <c r="K107" s="21">
        <v>7.3</v>
      </c>
    </row>
    <row r="108" spans="1:11" x14ac:dyDescent="0.35">
      <c r="A108" s="16" t="s">
        <v>234</v>
      </c>
      <c r="B108" s="16" t="s">
        <v>235</v>
      </c>
      <c r="C108" s="16" t="s">
        <v>18</v>
      </c>
      <c r="D108" s="16" t="s">
        <v>14</v>
      </c>
      <c r="E108" s="16" t="s">
        <v>39</v>
      </c>
      <c r="F108" s="16">
        <v>4</v>
      </c>
      <c r="G108" s="17">
        <v>78</v>
      </c>
      <c r="H108" s="16">
        <v>83</v>
      </c>
      <c r="I108" s="16">
        <v>84</v>
      </c>
      <c r="J108" s="16">
        <v>94</v>
      </c>
      <c r="K108" s="18">
        <v>8.6999999999999993</v>
      </c>
    </row>
    <row r="109" spans="1:11" x14ac:dyDescent="0.35">
      <c r="A109" s="19" t="s">
        <v>236</v>
      </c>
      <c r="B109" s="19" t="s">
        <v>237</v>
      </c>
      <c r="C109" s="19" t="s">
        <v>13</v>
      </c>
      <c r="D109" s="19" t="s">
        <v>14</v>
      </c>
      <c r="E109" s="19" t="s">
        <v>20</v>
      </c>
      <c r="F109" s="19">
        <v>6</v>
      </c>
      <c r="G109" s="20">
        <v>91</v>
      </c>
      <c r="H109" s="19">
        <v>66</v>
      </c>
      <c r="I109" s="19">
        <v>65</v>
      </c>
      <c r="J109" s="19">
        <v>64</v>
      </c>
      <c r="K109" s="21">
        <v>6.5</v>
      </c>
    </row>
    <row r="110" spans="1:11" x14ac:dyDescent="0.35">
      <c r="A110" s="16" t="s">
        <v>238</v>
      </c>
      <c r="B110" s="16" t="s">
        <v>239</v>
      </c>
      <c r="C110" s="16" t="s">
        <v>18</v>
      </c>
      <c r="D110" s="16" t="s">
        <v>14</v>
      </c>
      <c r="E110" s="16" t="s">
        <v>39</v>
      </c>
      <c r="F110" s="16">
        <v>8</v>
      </c>
      <c r="G110" s="17">
        <v>100</v>
      </c>
      <c r="H110" s="16">
        <v>63</v>
      </c>
      <c r="I110" s="16">
        <v>55</v>
      </c>
      <c r="J110" s="16">
        <v>86</v>
      </c>
      <c r="K110" s="18">
        <v>6.8</v>
      </c>
    </row>
    <row r="111" spans="1:11" x14ac:dyDescent="0.35">
      <c r="A111" s="19" t="s">
        <v>240</v>
      </c>
      <c r="B111" s="19" t="s">
        <v>241</v>
      </c>
      <c r="C111" s="19" t="s">
        <v>13</v>
      </c>
      <c r="D111" s="19" t="s">
        <v>23</v>
      </c>
      <c r="E111" s="19" t="s">
        <v>15</v>
      </c>
      <c r="F111" s="19">
        <v>1</v>
      </c>
      <c r="G111" s="20">
        <v>65</v>
      </c>
      <c r="H111" s="19">
        <v>84</v>
      </c>
      <c r="I111" s="19">
        <v>44</v>
      </c>
      <c r="J111" s="19">
        <v>47</v>
      </c>
      <c r="K111" s="21">
        <v>5.83</v>
      </c>
    </row>
    <row r="112" spans="1:11" x14ac:dyDescent="0.35">
      <c r="A112" s="16" t="s">
        <v>242</v>
      </c>
      <c r="B112" s="16" t="s">
        <v>243</v>
      </c>
      <c r="C112" s="16" t="s">
        <v>18</v>
      </c>
      <c r="D112" s="16" t="s">
        <v>23</v>
      </c>
      <c r="E112" s="16" t="s">
        <v>46</v>
      </c>
      <c r="F112" s="16">
        <v>7</v>
      </c>
      <c r="G112" s="17">
        <v>69</v>
      </c>
      <c r="H112" s="16">
        <v>96</v>
      </c>
      <c r="I112" s="16">
        <v>89</v>
      </c>
      <c r="J112" s="16">
        <v>43</v>
      </c>
      <c r="K112" s="18">
        <v>7.6</v>
      </c>
    </row>
    <row r="113" spans="1:11" x14ac:dyDescent="0.35">
      <c r="A113" s="19" t="s">
        <v>244</v>
      </c>
      <c r="B113" s="19" t="s">
        <v>245</v>
      </c>
      <c r="C113" s="19" t="s">
        <v>13</v>
      </c>
      <c r="D113" s="19" t="s">
        <v>14</v>
      </c>
      <c r="E113" s="19" t="s">
        <v>15</v>
      </c>
      <c r="F113" s="19">
        <v>7</v>
      </c>
      <c r="G113" s="20">
        <v>83</v>
      </c>
      <c r="H113" s="19">
        <v>52</v>
      </c>
      <c r="I113" s="19">
        <v>78</v>
      </c>
      <c r="J113" s="19">
        <v>72</v>
      </c>
      <c r="K113" s="21">
        <v>6.73</v>
      </c>
    </row>
    <row r="114" spans="1:11" x14ac:dyDescent="0.35">
      <c r="A114" s="16" t="s">
        <v>246</v>
      </c>
      <c r="B114" s="16" t="s">
        <v>247</v>
      </c>
      <c r="C114" s="16" t="s">
        <v>18</v>
      </c>
      <c r="D114" s="16" t="s">
        <v>19</v>
      </c>
      <c r="E114" s="16" t="s">
        <v>46</v>
      </c>
      <c r="F114" s="16">
        <v>5</v>
      </c>
      <c r="G114" s="17">
        <v>93</v>
      </c>
      <c r="H114" s="16">
        <v>98</v>
      </c>
      <c r="I114" s="16">
        <v>57</v>
      </c>
      <c r="J114" s="16">
        <v>85</v>
      </c>
      <c r="K114" s="18">
        <v>8</v>
      </c>
    </row>
    <row r="115" spans="1:11" x14ac:dyDescent="0.35">
      <c r="A115" s="19" t="s">
        <v>248</v>
      </c>
      <c r="B115" s="19" t="s">
        <v>249</v>
      </c>
      <c r="C115" s="19" t="s">
        <v>13</v>
      </c>
      <c r="D115" s="19" t="s">
        <v>14</v>
      </c>
      <c r="E115" s="19" t="s">
        <v>24</v>
      </c>
      <c r="F115" s="19">
        <v>6</v>
      </c>
      <c r="G115" s="20">
        <v>97</v>
      </c>
      <c r="H115" s="19">
        <v>86</v>
      </c>
      <c r="I115" s="19">
        <v>96</v>
      </c>
      <c r="J115" s="19">
        <v>52</v>
      </c>
      <c r="K115" s="21">
        <v>7.8</v>
      </c>
    </row>
    <row r="116" spans="1:11" x14ac:dyDescent="0.35">
      <c r="A116" s="16" t="s">
        <v>250</v>
      </c>
      <c r="B116" s="16" t="s">
        <v>251</v>
      </c>
      <c r="C116" s="16" t="s">
        <v>18</v>
      </c>
      <c r="D116" s="16" t="s">
        <v>19</v>
      </c>
      <c r="E116" s="16" t="s">
        <v>20</v>
      </c>
      <c r="F116" s="16">
        <v>2</v>
      </c>
      <c r="G116" s="17">
        <v>68</v>
      </c>
      <c r="H116" s="16">
        <v>93</v>
      </c>
      <c r="I116" s="16">
        <v>74</v>
      </c>
      <c r="J116" s="16">
        <v>95</v>
      </c>
      <c r="K116" s="18">
        <v>8.73</v>
      </c>
    </row>
    <row r="117" spans="1:11" x14ac:dyDescent="0.35">
      <c r="A117" s="19" t="s">
        <v>252</v>
      </c>
      <c r="B117" s="19" t="s">
        <v>253</v>
      </c>
      <c r="C117" s="19" t="s">
        <v>18</v>
      </c>
      <c r="D117" s="19" t="s">
        <v>14</v>
      </c>
      <c r="E117" s="19" t="s">
        <v>15</v>
      </c>
      <c r="F117" s="19">
        <v>3</v>
      </c>
      <c r="G117" s="20">
        <v>78</v>
      </c>
      <c r="H117" s="19">
        <v>56</v>
      </c>
      <c r="I117" s="19">
        <v>90</v>
      </c>
      <c r="J117" s="19">
        <v>40</v>
      </c>
      <c r="K117" s="21">
        <v>6.2</v>
      </c>
    </row>
    <row r="118" spans="1:11" x14ac:dyDescent="0.35">
      <c r="A118" s="16" t="s">
        <v>254</v>
      </c>
      <c r="B118" s="16" t="s">
        <v>255</v>
      </c>
      <c r="C118" s="16" t="s">
        <v>18</v>
      </c>
      <c r="D118" s="16" t="s">
        <v>14</v>
      </c>
      <c r="E118" s="16" t="s">
        <v>39</v>
      </c>
      <c r="F118" s="16">
        <v>4</v>
      </c>
      <c r="G118" s="17">
        <v>79</v>
      </c>
      <c r="H118" s="16">
        <v>91</v>
      </c>
      <c r="I118" s="16">
        <v>95</v>
      </c>
      <c r="J118" s="16">
        <v>50</v>
      </c>
      <c r="K118" s="18">
        <v>7.87</v>
      </c>
    </row>
    <row r="119" spans="1:11" x14ac:dyDescent="0.35">
      <c r="A119" s="19" t="s">
        <v>256</v>
      </c>
      <c r="B119" s="19" t="s">
        <v>257</v>
      </c>
      <c r="C119" s="19" t="s">
        <v>18</v>
      </c>
      <c r="D119" s="19" t="s">
        <v>57</v>
      </c>
      <c r="E119" s="19" t="s">
        <v>39</v>
      </c>
      <c r="F119" s="19">
        <v>5</v>
      </c>
      <c r="G119" s="20">
        <v>86</v>
      </c>
      <c r="H119" s="19">
        <v>80</v>
      </c>
      <c r="I119" s="19">
        <v>66</v>
      </c>
      <c r="J119" s="19">
        <v>76</v>
      </c>
      <c r="K119" s="21">
        <v>7.4</v>
      </c>
    </row>
    <row r="120" spans="1:11" x14ac:dyDescent="0.35">
      <c r="A120" s="16" t="s">
        <v>258</v>
      </c>
      <c r="B120" s="16" t="s">
        <v>259</v>
      </c>
      <c r="C120" s="16" t="s">
        <v>18</v>
      </c>
      <c r="D120" s="16" t="s">
        <v>19</v>
      </c>
      <c r="E120" s="16" t="s">
        <v>39</v>
      </c>
      <c r="F120" s="16">
        <v>7</v>
      </c>
      <c r="G120" s="17">
        <v>60</v>
      </c>
      <c r="H120" s="16">
        <v>78</v>
      </c>
      <c r="I120" s="16">
        <v>73</v>
      </c>
      <c r="J120" s="16">
        <v>69</v>
      </c>
      <c r="K120" s="18">
        <v>7.33</v>
      </c>
    </row>
    <row r="121" spans="1:11" x14ac:dyDescent="0.35">
      <c r="A121" s="19" t="s">
        <v>260</v>
      </c>
      <c r="B121" s="19" t="s">
        <v>261</v>
      </c>
      <c r="C121" s="19" t="s">
        <v>18</v>
      </c>
      <c r="D121" s="19" t="s">
        <v>23</v>
      </c>
      <c r="E121" s="19" t="s">
        <v>20</v>
      </c>
      <c r="F121" s="19">
        <v>4</v>
      </c>
      <c r="G121" s="20">
        <v>94</v>
      </c>
      <c r="H121" s="19">
        <v>66</v>
      </c>
      <c r="I121" s="19">
        <v>70</v>
      </c>
      <c r="J121" s="19">
        <v>60</v>
      </c>
      <c r="K121" s="21">
        <v>6.53</v>
      </c>
    </row>
    <row r="122" spans="1:11" x14ac:dyDescent="0.35">
      <c r="A122" s="16" t="s">
        <v>262</v>
      </c>
      <c r="B122" s="16" t="s">
        <v>263</v>
      </c>
      <c r="C122" s="16" t="s">
        <v>13</v>
      </c>
      <c r="D122" s="16" t="s">
        <v>14</v>
      </c>
      <c r="E122" s="16" t="s">
        <v>46</v>
      </c>
      <c r="F122" s="16">
        <v>7</v>
      </c>
      <c r="G122" s="17">
        <v>76</v>
      </c>
      <c r="H122" s="16">
        <v>65</v>
      </c>
      <c r="I122" s="16">
        <v>55</v>
      </c>
      <c r="J122" s="16">
        <v>41</v>
      </c>
      <c r="K122" s="18">
        <v>5.37</v>
      </c>
    </row>
    <row r="123" spans="1:11" x14ac:dyDescent="0.35">
      <c r="A123" s="19" t="s">
        <v>264</v>
      </c>
      <c r="B123" s="19" t="s">
        <v>265</v>
      </c>
      <c r="C123" s="19" t="s">
        <v>13</v>
      </c>
      <c r="D123" s="19" t="s">
        <v>57</v>
      </c>
      <c r="E123" s="19" t="s">
        <v>46</v>
      </c>
      <c r="F123" s="19">
        <v>7</v>
      </c>
      <c r="G123" s="20">
        <v>89</v>
      </c>
      <c r="H123" s="19">
        <v>91</v>
      </c>
      <c r="I123" s="19">
        <v>49</v>
      </c>
      <c r="J123" s="19">
        <v>61</v>
      </c>
      <c r="K123" s="21">
        <v>6.7</v>
      </c>
    </row>
    <row r="124" spans="1:11" x14ac:dyDescent="0.35">
      <c r="A124" s="16" t="s">
        <v>266</v>
      </c>
      <c r="B124" s="16" t="s">
        <v>267</v>
      </c>
      <c r="C124" s="16" t="s">
        <v>18</v>
      </c>
      <c r="D124" s="16" t="s">
        <v>23</v>
      </c>
      <c r="E124" s="16" t="s">
        <v>20</v>
      </c>
      <c r="F124" s="16">
        <v>3</v>
      </c>
      <c r="G124" s="17">
        <v>81</v>
      </c>
      <c r="H124" s="16">
        <v>61</v>
      </c>
      <c r="I124" s="16">
        <v>70</v>
      </c>
      <c r="J124" s="16">
        <v>48</v>
      </c>
      <c r="K124" s="18">
        <v>5.97</v>
      </c>
    </row>
    <row r="125" spans="1:11" x14ac:dyDescent="0.35">
      <c r="A125" s="19" t="s">
        <v>268</v>
      </c>
      <c r="B125" s="19" t="s">
        <v>269</v>
      </c>
      <c r="C125" s="19" t="s">
        <v>13</v>
      </c>
      <c r="D125" s="19" t="s">
        <v>14</v>
      </c>
      <c r="E125" s="19" t="s">
        <v>15</v>
      </c>
      <c r="F125" s="19">
        <v>3</v>
      </c>
      <c r="G125" s="20">
        <v>92</v>
      </c>
      <c r="H125" s="19">
        <v>70</v>
      </c>
      <c r="I125" s="19">
        <v>91</v>
      </c>
      <c r="J125" s="19">
        <v>46</v>
      </c>
      <c r="K125" s="21">
        <v>6.9</v>
      </c>
    </row>
    <row r="126" spans="1:11" x14ac:dyDescent="0.35">
      <c r="A126" s="16" t="s">
        <v>270</v>
      </c>
      <c r="B126" s="16" t="s">
        <v>271</v>
      </c>
      <c r="C126" s="16" t="s">
        <v>18</v>
      </c>
      <c r="D126" s="16" t="s">
        <v>23</v>
      </c>
      <c r="E126" s="16" t="s">
        <v>24</v>
      </c>
      <c r="F126" s="16">
        <v>5</v>
      </c>
      <c r="G126" s="17">
        <v>65</v>
      </c>
      <c r="H126" s="16">
        <v>77</v>
      </c>
      <c r="I126" s="16">
        <v>95</v>
      </c>
      <c r="J126" s="16">
        <v>55</v>
      </c>
      <c r="K126" s="18">
        <v>7.57</v>
      </c>
    </row>
    <row r="127" spans="1:11" x14ac:dyDescent="0.35">
      <c r="A127" s="19" t="s">
        <v>272</v>
      </c>
      <c r="B127" s="19" t="s">
        <v>273</v>
      </c>
      <c r="C127" s="19" t="s">
        <v>18</v>
      </c>
      <c r="D127" s="19" t="s">
        <v>19</v>
      </c>
      <c r="E127" s="19" t="s">
        <v>39</v>
      </c>
      <c r="F127" s="19">
        <v>2</v>
      </c>
      <c r="G127" s="20">
        <v>90</v>
      </c>
      <c r="H127" s="19">
        <v>67</v>
      </c>
      <c r="I127" s="19">
        <v>72</v>
      </c>
      <c r="J127" s="19">
        <v>72</v>
      </c>
      <c r="K127" s="21">
        <v>7.03</v>
      </c>
    </row>
    <row r="128" spans="1:11" x14ac:dyDescent="0.35">
      <c r="A128" s="16" t="s">
        <v>274</v>
      </c>
      <c r="B128" s="16" t="s">
        <v>275</v>
      </c>
      <c r="C128" s="16" t="s">
        <v>13</v>
      </c>
      <c r="D128" s="16" t="s">
        <v>23</v>
      </c>
      <c r="E128" s="16" t="s">
        <v>20</v>
      </c>
      <c r="F128" s="16">
        <v>7</v>
      </c>
      <c r="G128" s="17">
        <v>84</v>
      </c>
      <c r="H128" s="16">
        <v>73</v>
      </c>
      <c r="I128" s="16">
        <v>67</v>
      </c>
      <c r="J128" s="16">
        <v>35</v>
      </c>
      <c r="K128" s="18">
        <v>5.83</v>
      </c>
    </row>
    <row r="129" spans="1:11" x14ac:dyDescent="0.35">
      <c r="A129" s="19" t="s">
        <v>276</v>
      </c>
      <c r="B129" s="19" t="s">
        <v>277</v>
      </c>
      <c r="C129" s="19" t="s">
        <v>13</v>
      </c>
      <c r="D129" s="19" t="s">
        <v>19</v>
      </c>
      <c r="E129" s="19" t="s">
        <v>24</v>
      </c>
      <c r="F129" s="19">
        <v>2</v>
      </c>
      <c r="G129" s="20">
        <v>87</v>
      </c>
      <c r="H129" s="19">
        <v>87</v>
      </c>
      <c r="I129" s="19">
        <v>40</v>
      </c>
      <c r="J129" s="19">
        <v>90</v>
      </c>
      <c r="K129" s="21">
        <v>7.23</v>
      </c>
    </row>
    <row r="130" spans="1:11" x14ac:dyDescent="0.35">
      <c r="A130" s="16" t="s">
        <v>278</v>
      </c>
      <c r="B130" s="16" t="s">
        <v>279</v>
      </c>
      <c r="C130" s="16" t="s">
        <v>18</v>
      </c>
      <c r="D130" s="16" t="s">
        <v>57</v>
      </c>
      <c r="E130" s="16" t="s">
        <v>15</v>
      </c>
      <c r="F130" s="16">
        <v>7</v>
      </c>
      <c r="G130" s="17">
        <v>79</v>
      </c>
      <c r="H130" s="16">
        <v>58</v>
      </c>
      <c r="I130" s="16">
        <v>98</v>
      </c>
      <c r="J130" s="16">
        <v>79</v>
      </c>
      <c r="K130" s="18">
        <v>7.83</v>
      </c>
    </row>
    <row r="131" spans="1:11" x14ac:dyDescent="0.35">
      <c r="A131" s="19" t="s">
        <v>280</v>
      </c>
      <c r="B131" s="19" t="s">
        <v>281</v>
      </c>
      <c r="C131" s="19" t="s">
        <v>18</v>
      </c>
      <c r="D131" s="19" t="s">
        <v>14</v>
      </c>
      <c r="E131" s="19" t="s">
        <v>15</v>
      </c>
      <c r="F131" s="19">
        <v>8</v>
      </c>
      <c r="G131" s="20">
        <v>85</v>
      </c>
      <c r="H131" s="19">
        <v>66</v>
      </c>
      <c r="I131" s="19">
        <v>82</v>
      </c>
      <c r="J131" s="19">
        <v>42</v>
      </c>
      <c r="K131" s="21">
        <v>6.33</v>
      </c>
    </row>
    <row r="132" spans="1:11" x14ac:dyDescent="0.35">
      <c r="A132" s="16" t="s">
        <v>282</v>
      </c>
      <c r="B132" s="16" t="s">
        <v>283</v>
      </c>
      <c r="C132" s="16" t="s">
        <v>13</v>
      </c>
      <c r="D132" s="16" t="s">
        <v>23</v>
      </c>
      <c r="E132" s="16" t="s">
        <v>24</v>
      </c>
      <c r="F132" s="16">
        <v>2</v>
      </c>
      <c r="G132" s="17">
        <v>74</v>
      </c>
      <c r="H132" s="16">
        <v>52</v>
      </c>
      <c r="I132" s="16">
        <v>88</v>
      </c>
      <c r="J132" s="16">
        <v>68</v>
      </c>
      <c r="K132" s="18">
        <v>6.93</v>
      </c>
    </row>
    <row r="133" spans="1:11" x14ac:dyDescent="0.35">
      <c r="A133" s="19" t="s">
        <v>284</v>
      </c>
      <c r="B133" s="19" t="s">
        <v>285</v>
      </c>
      <c r="C133" s="19" t="s">
        <v>13</v>
      </c>
      <c r="D133" s="19" t="s">
        <v>14</v>
      </c>
      <c r="E133" s="19" t="s">
        <v>46</v>
      </c>
      <c r="F133" s="19">
        <v>3</v>
      </c>
      <c r="G133" s="20">
        <v>88</v>
      </c>
      <c r="H133" s="19">
        <v>53</v>
      </c>
      <c r="I133" s="19">
        <v>98</v>
      </c>
      <c r="J133" s="19">
        <v>69</v>
      </c>
      <c r="K133" s="21">
        <v>7.33</v>
      </c>
    </row>
    <row r="134" spans="1:11" x14ac:dyDescent="0.35">
      <c r="A134" s="16" t="s">
        <v>286</v>
      </c>
      <c r="B134" s="16" t="s">
        <v>287</v>
      </c>
      <c r="C134" s="16" t="s">
        <v>18</v>
      </c>
      <c r="D134" s="16" t="s">
        <v>23</v>
      </c>
      <c r="E134" s="16" t="s">
        <v>15</v>
      </c>
      <c r="F134" s="16">
        <v>5</v>
      </c>
      <c r="G134" s="17">
        <v>89</v>
      </c>
      <c r="H134" s="16">
        <v>67</v>
      </c>
      <c r="I134" s="16">
        <v>92</v>
      </c>
      <c r="J134" s="16">
        <v>93</v>
      </c>
      <c r="K134" s="18">
        <v>8.4</v>
      </c>
    </row>
    <row r="135" spans="1:11" x14ac:dyDescent="0.35">
      <c r="A135" s="19" t="s">
        <v>288</v>
      </c>
      <c r="B135" s="19" t="s">
        <v>289</v>
      </c>
      <c r="C135" s="19" t="s">
        <v>13</v>
      </c>
      <c r="D135" s="19" t="s">
        <v>14</v>
      </c>
      <c r="E135" s="19" t="s">
        <v>39</v>
      </c>
      <c r="F135" s="19">
        <v>1</v>
      </c>
      <c r="G135" s="20">
        <v>60</v>
      </c>
      <c r="H135" s="19">
        <v>66</v>
      </c>
      <c r="I135" s="19">
        <v>82</v>
      </c>
      <c r="J135" s="19">
        <v>44</v>
      </c>
      <c r="K135" s="21">
        <v>6.4</v>
      </c>
    </row>
    <row r="136" spans="1:11" x14ac:dyDescent="0.35">
      <c r="A136" s="16" t="s">
        <v>290</v>
      </c>
      <c r="B136" s="16" t="s">
        <v>291</v>
      </c>
      <c r="C136" s="16" t="s">
        <v>13</v>
      </c>
      <c r="D136" s="16" t="s">
        <v>23</v>
      </c>
      <c r="E136" s="16" t="s">
        <v>46</v>
      </c>
      <c r="F136" s="16">
        <v>8</v>
      </c>
      <c r="G136" s="17">
        <v>65</v>
      </c>
      <c r="H136" s="16">
        <v>68</v>
      </c>
      <c r="I136" s="16">
        <v>97</v>
      </c>
      <c r="J136" s="16">
        <v>81</v>
      </c>
      <c r="K136" s="18">
        <v>8.1999999999999993</v>
      </c>
    </row>
    <row r="137" spans="1:11" x14ac:dyDescent="0.35">
      <c r="A137" s="19" t="s">
        <v>292</v>
      </c>
      <c r="B137" s="19" t="s">
        <v>293</v>
      </c>
      <c r="C137" s="19" t="s">
        <v>18</v>
      </c>
      <c r="D137" s="19" t="s">
        <v>14</v>
      </c>
      <c r="E137" s="19" t="s">
        <v>46</v>
      </c>
      <c r="F137" s="19">
        <v>1</v>
      </c>
      <c r="G137" s="20">
        <v>86</v>
      </c>
      <c r="H137" s="19">
        <v>58</v>
      </c>
      <c r="I137" s="19">
        <v>49</v>
      </c>
      <c r="J137" s="19">
        <v>78</v>
      </c>
      <c r="K137" s="21">
        <v>6.17</v>
      </c>
    </row>
    <row r="138" spans="1:11" x14ac:dyDescent="0.35">
      <c r="A138" s="16" t="s">
        <v>294</v>
      </c>
      <c r="B138" s="16" t="s">
        <v>295</v>
      </c>
      <c r="C138" s="16" t="s">
        <v>13</v>
      </c>
      <c r="D138" s="16" t="s">
        <v>14</v>
      </c>
      <c r="E138" s="16" t="s">
        <v>24</v>
      </c>
      <c r="F138" s="16">
        <v>5</v>
      </c>
      <c r="G138" s="17">
        <v>80</v>
      </c>
      <c r="H138" s="16">
        <v>74</v>
      </c>
      <c r="I138" s="16">
        <v>48</v>
      </c>
      <c r="J138" s="16">
        <v>80</v>
      </c>
      <c r="K138" s="18">
        <v>6.73</v>
      </c>
    </row>
    <row r="139" spans="1:11" x14ac:dyDescent="0.35">
      <c r="A139" s="19" t="s">
        <v>296</v>
      </c>
      <c r="B139" s="19" t="s">
        <v>297</v>
      </c>
      <c r="C139" s="19" t="s">
        <v>18</v>
      </c>
      <c r="D139" s="19" t="s">
        <v>14</v>
      </c>
      <c r="E139" s="19" t="s">
        <v>46</v>
      </c>
      <c r="F139" s="19">
        <v>2</v>
      </c>
      <c r="G139" s="20">
        <v>60</v>
      </c>
      <c r="H139" s="19">
        <v>65</v>
      </c>
      <c r="I139" s="19">
        <v>79</v>
      </c>
      <c r="J139" s="19">
        <v>96</v>
      </c>
      <c r="K139" s="21">
        <v>8</v>
      </c>
    </row>
    <row r="140" spans="1:11" x14ac:dyDescent="0.35">
      <c r="A140" s="16" t="s">
        <v>298</v>
      </c>
      <c r="B140" s="16" t="s">
        <v>299</v>
      </c>
      <c r="C140" s="16" t="s">
        <v>18</v>
      </c>
      <c r="D140" s="16" t="s">
        <v>23</v>
      </c>
      <c r="E140" s="16" t="s">
        <v>39</v>
      </c>
      <c r="F140" s="16">
        <v>3</v>
      </c>
      <c r="G140" s="17">
        <v>61</v>
      </c>
      <c r="H140" s="16">
        <v>54</v>
      </c>
      <c r="I140" s="16">
        <v>46</v>
      </c>
      <c r="J140" s="16">
        <v>97</v>
      </c>
      <c r="K140" s="18">
        <v>6.57</v>
      </c>
    </row>
    <row r="141" spans="1:11" x14ac:dyDescent="0.35">
      <c r="A141" s="19" t="s">
        <v>300</v>
      </c>
      <c r="B141" s="19" t="s">
        <v>301</v>
      </c>
      <c r="C141" s="19" t="s">
        <v>18</v>
      </c>
      <c r="D141" s="19" t="s">
        <v>57</v>
      </c>
      <c r="E141" s="19" t="s">
        <v>15</v>
      </c>
      <c r="F141" s="19">
        <v>4</v>
      </c>
      <c r="G141" s="20">
        <v>98</v>
      </c>
      <c r="H141" s="19">
        <v>97</v>
      </c>
      <c r="I141" s="19">
        <v>80</v>
      </c>
      <c r="J141" s="19">
        <v>98</v>
      </c>
      <c r="K141" s="21">
        <v>9.17</v>
      </c>
    </row>
    <row r="142" spans="1:11" x14ac:dyDescent="0.35">
      <c r="A142" s="16" t="s">
        <v>302</v>
      </c>
      <c r="B142" s="16" t="s">
        <v>303</v>
      </c>
      <c r="C142" s="16" t="s">
        <v>13</v>
      </c>
      <c r="D142" s="16" t="s">
        <v>57</v>
      </c>
      <c r="E142" s="16" t="s">
        <v>46</v>
      </c>
      <c r="F142" s="16">
        <v>8</v>
      </c>
      <c r="G142" s="17">
        <v>91</v>
      </c>
      <c r="H142" s="16">
        <v>69</v>
      </c>
      <c r="I142" s="16">
        <v>70</v>
      </c>
      <c r="J142" s="16">
        <v>81</v>
      </c>
      <c r="K142" s="18">
        <v>7.33</v>
      </c>
    </row>
    <row r="143" spans="1:11" x14ac:dyDescent="0.35">
      <c r="A143" s="19" t="s">
        <v>304</v>
      </c>
      <c r="B143" s="19" t="s">
        <v>305</v>
      </c>
      <c r="C143" s="19" t="s">
        <v>18</v>
      </c>
      <c r="D143" s="19" t="s">
        <v>14</v>
      </c>
      <c r="E143" s="19" t="s">
        <v>15</v>
      </c>
      <c r="F143" s="19">
        <v>7</v>
      </c>
      <c r="G143" s="20">
        <v>66</v>
      </c>
      <c r="H143" s="19">
        <v>60</v>
      </c>
      <c r="I143" s="19">
        <v>69</v>
      </c>
      <c r="J143" s="19">
        <v>95</v>
      </c>
      <c r="K143" s="21">
        <v>7.47</v>
      </c>
    </row>
    <row r="144" spans="1:11" x14ac:dyDescent="0.35">
      <c r="A144" s="16" t="s">
        <v>306</v>
      </c>
      <c r="B144" s="16" t="s">
        <v>307</v>
      </c>
      <c r="C144" s="16" t="s">
        <v>13</v>
      </c>
      <c r="D144" s="16" t="s">
        <v>14</v>
      </c>
      <c r="E144" s="16" t="s">
        <v>46</v>
      </c>
      <c r="F144" s="16">
        <v>3</v>
      </c>
      <c r="G144" s="17">
        <v>69</v>
      </c>
      <c r="H144" s="16">
        <v>78</v>
      </c>
      <c r="I144" s="16">
        <v>92</v>
      </c>
      <c r="J144" s="16">
        <v>69</v>
      </c>
      <c r="K144" s="18">
        <v>7.97</v>
      </c>
    </row>
    <row r="145" spans="1:11" x14ac:dyDescent="0.35">
      <c r="A145" s="19" t="s">
        <v>308</v>
      </c>
      <c r="B145" s="19" t="s">
        <v>309</v>
      </c>
      <c r="C145" s="19" t="s">
        <v>13</v>
      </c>
      <c r="D145" s="19" t="s">
        <v>23</v>
      </c>
      <c r="E145" s="19" t="s">
        <v>20</v>
      </c>
      <c r="F145" s="19">
        <v>3</v>
      </c>
      <c r="G145" s="20">
        <v>91</v>
      </c>
      <c r="H145" s="19">
        <v>90</v>
      </c>
      <c r="I145" s="19">
        <v>52</v>
      </c>
      <c r="J145" s="19">
        <v>69</v>
      </c>
      <c r="K145" s="21">
        <v>7.03</v>
      </c>
    </row>
    <row r="146" spans="1:11" x14ac:dyDescent="0.35">
      <c r="A146" s="16" t="s">
        <v>310</v>
      </c>
      <c r="B146" s="16" t="s">
        <v>311</v>
      </c>
      <c r="C146" s="16" t="s">
        <v>13</v>
      </c>
      <c r="D146" s="16" t="s">
        <v>19</v>
      </c>
      <c r="E146" s="16" t="s">
        <v>20</v>
      </c>
      <c r="F146" s="16">
        <v>2</v>
      </c>
      <c r="G146" s="17">
        <v>86</v>
      </c>
      <c r="H146" s="16">
        <v>57</v>
      </c>
      <c r="I146" s="16">
        <v>77</v>
      </c>
      <c r="J146" s="16">
        <v>73</v>
      </c>
      <c r="K146" s="18">
        <v>6.9</v>
      </c>
    </row>
    <row r="147" spans="1:11" x14ac:dyDescent="0.35">
      <c r="A147" s="19" t="s">
        <v>312</v>
      </c>
      <c r="B147" s="19" t="s">
        <v>313</v>
      </c>
      <c r="C147" s="19" t="s">
        <v>18</v>
      </c>
      <c r="D147" s="19" t="s">
        <v>19</v>
      </c>
      <c r="E147" s="19" t="s">
        <v>39</v>
      </c>
      <c r="F147" s="19">
        <v>5</v>
      </c>
      <c r="G147" s="20">
        <v>62</v>
      </c>
      <c r="H147" s="19">
        <v>72</v>
      </c>
      <c r="I147" s="19">
        <v>82</v>
      </c>
      <c r="J147" s="19">
        <v>38</v>
      </c>
      <c r="K147" s="21">
        <v>6.4</v>
      </c>
    </row>
    <row r="148" spans="1:11" x14ac:dyDescent="0.35">
      <c r="A148" s="16" t="s">
        <v>314</v>
      </c>
      <c r="B148" s="16" t="s">
        <v>315</v>
      </c>
      <c r="C148" s="16" t="s">
        <v>13</v>
      </c>
      <c r="D148" s="16" t="s">
        <v>57</v>
      </c>
      <c r="E148" s="16" t="s">
        <v>15</v>
      </c>
      <c r="F148" s="16">
        <v>1</v>
      </c>
      <c r="G148" s="17">
        <v>91</v>
      </c>
      <c r="H148" s="16">
        <v>70</v>
      </c>
      <c r="I148" s="16">
        <v>98</v>
      </c>
      <c r="J148" s="16">
        <v>49</v>
      </c>
      <c r="K148" s="18">
        <v>7.23</v>
      </c>
    </row>
    <row r="149" spans="1:11" x14ac:dyDescent="0.35">
      <c r="A149" s="19" t="s">
        <v>316</v>
      </c>
      <c r="B149" s="19" t="s">
        <v>317</v>
      </c>
      <c r="C149" s="19" t="s">
        <v>13</v>
      </c>
      <c r="D149" s="19" t="s">
        <v>57</v>
      </c>
      <c r="E149" s="19" t="s">
        <v>46</v>
      </c>
      <c r="F149" s="19">
        <v>2</v>
      </c>
      <c r="G149" s="20">
        <v>72</v>
      </c>
      <c r="H149" s="19">
        <v>93</v>
      </c>
      <c r="I149" s="19">
        <v>64</v>
      </c>
      <c r="J149" s="19">
        <v>70</v>
      </c>
      <c r="K149" s="21">
        <v>7.57</v>
      </c>
    </row>
    <row r="150" spans="1:11" x14ac:dyDescent="0.35">
      <c r="A150" s="16" t="s">
        <v>318</v>
      </c>
      <c r="B150" s="16" t="s">
        <v>319</v>
      </c>
      <c r="C150" s="16" t="s">
        <v>18</v>
      </c>
      <c r="D150" s="16" t="s">
        <v>23</v>
      </c>
      <c r="E150" s="16" t="s">
        <v>20</v>
      </c>
      <c r="F150" s="16">
        <v>2</v>
      </c>
      <c r="G150" s="17">
        <v>90</v>
      </c>
      <c r="H150" s="16">
        <v>85</v>
      </c>
      <c r="I150" s="16">
        <v>98</v>
      </c>
      <c r="J150" s="16">
        <v>51</v>
      </c>
      <c r="K150" s="18">
        <v>7.8</v>
      </c>
    </row>
    <row r="151" spans="1:11" x14ac:dyDescent="0.35">
      <c r="A151" s="19" t="s">
        <v>320</v>
      </c>
      <c r="B151" s="19" t="s">
        <v>321</v>
      </c>
      <c r="C151" s="19" t="s">
        <v>18</v>
      </c>
      <c r="D151" s="19" t="s">
        <v>57</v>
      </c>
      <c r="E151" s="19" t="s">
        <v>46</v>
      </c>
      <c r="F151" s="19">
        <v>2</v>
      </c>
      <c r="G151" s="20">
        <v>84</v>
      </c>
      <c r="H151" s="19">
        <v>95</v>
      </c>
      <c r="I151" s="19">
        <v>47</v>
      </c>
      <c r="J151" s="19">
        <v>37</v>
      </c>
      <c r="K151" s="21">
        <v>5.97</v>
      </c>
    </row>
    <row r="152" spans="1:11" x14ac:dyDescent="0.35">
      <c r="A152" s="16" t="s">
        <v>322</v>
      </c>
      <c r="B152" s="16" t="s">
        <v>323</v>
      </c>
      <c r="C152" s="16" t="s">
        <v>13</v>
      </c>
      <c r="D152" s="16" t="s">
        <v>19</v>
      </c>
      <c r="E152" s="16" t="s">
        <v>15</v>
      </c>
      <c r="F152" s="16">
        <v>8</v>
      </c>
      <c r="G152" s="17">
        <v>68</v>
      </c>
      <c r="H152" s="16">
        <v>54</v>
      </c>
      <c r="I152" s="16">
        <v>98</v>
      </c>
      <c r="J152" s="16">
        <v>73</v>
      </c>
      <c r="K152" s="18">
        <v>7.5</v>
      </c>
    </row>
    <row r="153" spans="1:11" x14ac:dyDescent="0.35">
      <c r="A153" s="19" t="s">
        <v>324</v>
      </c>
      <c r="B153" s="19" t="s">
        <v>325</v>
      </c>
      <c r="C153" s="19" t="s">
        <v>18</v>
      </c>
      <c r="D153" s="19" t="s">
        <v>57</v>
      </c>
      <c r="E153" s="19" t="s">
        <v>20</v>
      </c>
      <c r="F153" s="19">
        <v>3</v>
      </c>
      <c r="G153" s="20">
        <v>87</v>
      </c>
      <c r="H153" s="19">
        <v>80</v>
      </c>
      <c r="I153" s="19">
        <v>57</v>
      </c>
      <c r="J153" s="19">
        <v>42</v>
      </c>
      <c r="K153" s="21">
        <v>5.97</v>
      </c>
    </row>
    <row r="154" spans="1:11" x14ac:dyDescent="0.35">
      <c r="A154" s="16" t="s">
        <v>326</v>
      </c>
      <c r="B154" s="16" t="s">
        <v>327</v>
      </c>
      <c r="C154" s="16" t="s">
        <v>13</v>
      </c>
      <c r="D154" s="16" t="s">
        <v>57</v>
      </c>
      <c r="E154" s="16" t="s">
        <v>46</v>
      </c>
      <c r="F154" s="16">
        <v>8</v>
      </c>
      <c r="G154" s="17">
        <v>92</v>
      </c>
      <c r="H154" s="16">
        <v>52</v>
      </c>
      <c r="I154" s="16">
        <v>82</v>
      </c>
      <c r="J154" s="16">
        <v>39</v>
      </c>
      <c r="K154" s="18">
        <v>5.77</v>
      </c>
    </row>
    <row r="155" spans="1:11" x14ac:dyDescent="0.35">
      <c r="A155" s="19" t="s">
        <v>328</v>
      </c>
      <c r="B155" s="19" t="s">
        <v>329</v>
      </c>
      <c r="C155" s="19" t="s">
        <v>18</v>
      </c>
      <c r="D155" s="19" t="s">
        <v>57</v>
      </c>
      <c r="E155" s="19" t="s">
        <v>24</v>
      </c>
      <c r="F155" s="19">
        <v>1</v>
      </c>
      <c r="G155" s="20">
        <v>94</v>
      </c>
      <c r="H155" s="19">
        <v>93</v>
      </c>
      <c r="I155" s="19">
        <v>85</v>
      </c>
      <c r="J155" s="19">
        <v>85</v>
      </c>
      <c r="K155" s="21">
        <v>8.77</v>
      </c>
    </row>
    <row r="156" spans="1:11" x14ac:dyDescent="0.35">
      <c r="A156" s="16" t="s">
        <v>330</v>
      </c>
      <c r="B156" s="16" t="s">
        <v>331</v>
      </c>
      <c r="C156" s="16" t="s">
        <v>13</v>
      </c>
      <c r="D156" s="16" t="s">
        <v>57</v>
      </c>
      <c r="E156" s="16" t="s">
        <v>24</v>
      </c>
      <c r="F156" s="16">
        <v>1</v>
      </c>
      <c r="G156" s="17">
        <v>99</v>
      </c>
      <c r="H156" s="16">
        <v>62</v>
      </c>
      <c r="I156" s="16">
        <v>55</v>
      </c>
      <c r="J156" s="16">
        <v>41</v>
      </c>
      <c r="K156" s="18">
        <v>5.27</v>
      </c>
    </row>
    <row r="157" spans="1:11" x14ac:dyDescent="0.35">
      <c r="A157" s="19" t="s">
        <v>332</v>
      </c>
      <c r="B157" s="19" t="s">
        <v>333</v>
      </c>
      <c r="C157" s="19" t="s">
        <v>13</v>
      </c>
      <c r="D157" s="19" t="s">
        <v>14</v>
      </c>
      <c r="E157" s="19" t="s">
        <v>15</v>
      </c>
      <c r="F157" s="19">
        <v>5</v>
      </c>
      <c r="G157" s="20">
        <v>78</v>
      </c>
      <c r="H157" s="19">
        <v>83</v>
      </c>
      <c r="I157" s="19">
        <v>66</v>
      </c>
      <c r="J157" s="19">
        <v>68</v>
      </c>
      <c r="K157" s="21">
        <v>7.23</v>
      </c>
    </row>
    <row r="158" spans="1:11" x14ac:dyDescent="0.35">
      <c r="A158" s="16" t="s">
        <v>334</v>
      </c>
      <c r="B158" s="16" t="s">
        <v>335</v>
      </c>
      <c r="C158" s="16" t="s">
        <v>13</v>
      </c>
      <c r="D158" s="16" t="s">
        <v>19</v>
      </c>
      <c r="E158" s="16" t="s">
        <v>39</v>
      </c>
      <c r="F158" s="16">
        <v>8</v>
      </c>
      <c r="G158" s="17">
        <v>93</v>
      </c>
      <c r="H158" s="16">
        <v>76</v>
      </c>
      <c r="I158" s="16">
        <v>76</v>
      </c>
      <c r="J158" s="16">
        <v>82</v>
      </c>
      <c r="K158" s="18">
        <v>7.8</v>
      </c>
    </row>
    <row r="159" spans="1:11" x14ac:dyDescent="0.35">
      <c r="A159" s="19" t="s">
        <v>336</v>
      </c>
      <c r="B159" s="19" t="s">
        <v>337</v>
      </c>
      <c r="C159" s="19" t="s">
        <v>13</v>
      </c>
      <c r="D159" s="19" t="s">
        <v>57</v>
      </c>
      <c r="E159" s="19" t="s">
        <v>15</v>
      </c>
      <c r="F159" s="19">
        <v>6</v>
      </c>
      <c r="G159" s="20">
        <v>98</v>
      </c>
      <c r="H159" s="19">
        <v>82</v>
      </c>
      <c r="I159" s="19">
        <v>84</v>
      </c>
      <c r="J159" s="19">
        <v>63</v>
      </c>
      <c r="K159" s="21">
        <v>7.63</v>
      </c>
    </row>
    <row r="160" spans="1:11" x14ac:dyDescent="0.35">
      <c r="A160" s="16" t="s">
        <v>338</v>
      </c>
      <c r="B160" s="16" t="s">
        <v>339</v>
      </c>
      <c r="C160" s="16" t="s">
        <v>18</v>
      </c>
      <c r="D160" s="16" t="s">
        <v>19</v>
      </c>
      <c r="E160" s="16" t="s">
        <v>24</v>
      </c>
      <c r="F160" s="16">
        <v>2</v>
      </c>
      <c r="G160" s="17">
        <v>67</v>
      </c>
      <c r="H160" s="16">
        <v>86</v>
      </c>
      <c r="I160" s="16">
        <v>72</v>
      </c>
      <c r="J160" s="16">
        <v>83</v>
      </c>
      <c r="K160" s="18">
        <v>8.0299999999999994</v>
      </c>
    </row>
    <row r="161" spans="1:11" x14ac:dyDescent="0.35">
      <c r="A161" s="19" t="s">
        <v>340</v>
      </c>
      <c r="B161" s="19" t="s">
        <v>341</v>
      </c>
      <c r="C161" s="19" t="s">
        <v>18</v>
      </c>
      <c r="D161" s="19" t="s">
        <v>23</v>
      </c>
      <c r="E161" s="19" t="s">
        <v>20</v>
      </c>
      <c r="F161" s="19">
        <v>2</v>
      </c>
      <c r="G161" s="20">
        <v>76</v>
      </c>
      <c r="H161" s="19">
        <v>97</v>
      </c>
      <c r="I161" s="19">
        <v>71</v>
      </c>
      <c r="J161" s="19">
        <v>49</v>
      </c>
      <c r="K161" s="21">
        <v>7.23</v>
      </c>
    </row>
    <row r="162" spans="1:11" x14ac:dyDescent="0.35">
      <c r="A162" s="16" t="s">
        <v>342</v>
      </c>
      <c r="B162" s="16" t="s">
        <v>343</v>
      </c>
      <c r="C162" s="16" t="s">
        <v>13</v>
      </c>
      <c r="D162" s="16" t="s">
        <v>19</v>
      </c>
      <c r="E162" s="16" t="s">
        <v>46</v>
      </c>
      <c r="F162" s="16">
        <v>6</v>
      </c>
      <c r="G162" s="17">
        <v>73</v>
      </c>
      <c r="H162" s="16">
        <v>77</v>
      </c>
      <c r="I162" s="16">
        <v>89</v>
      </c>
      <c r="J162" s="16">
        <v>90</v>
      </c>
      <c r="K162" s="18">
        <v>8.5299999999999994</v>
      </c>
    </row>
    <row r="163" spans="1:11" x14ac:dyDescent="0.35">
      <c r="A163" s="19" t="s">
        <v>344</v>
      </c>
      <c r="B163" s="19" t="s">
        <v>345</v>
      </c>
      <c r="C163" s="19" t="s">
        <v>13</v>
      </c>
      <c r="D163" s="19" t="s">
        <v>23</v>
      </c>
      <c r="E163" s="19" t="s">
        <v>15</v>
      </c>
      <c r="F163" s="19">
        <v>4</v>
      </c>
      <c r="G163" s="20">
        <v>80</v>
      </c>
      <c r="H163" s="19">
        <v>100</v>
      </c>
      <c r="I163" s="19">
        <v>54</v>
      </c>
      <c r="J163" s="19">
        <v>77</v>
      </c>
      <c r="K163" s="21">
        <v>7.7</v>
      </c>
    </row>
    <row r="164" spans="1:11" x14ac:dyDescent="0.35">
      <c r="A164" s="16" t="s">
        <v>346</v>
      </c>
      <c r="B164" s="16" t="s">
        <v>347</v>
      </c>
      <c r="C164" s="16" t="s">
        <v>18</v>
      </c>
      <c r="D164" s="16" t="s">
        <v>19</v>
      </c>
      <c r="E164" s="16" t="s">
        <v>39</v>
      </c>
      <c r="F164" s="16">
        <v>3</v>
      </c>
      <c r="G164" s="17">
        <v>75</v>
      </c>
      <c r="H164" s="16">
        <v>90</v>
      </c>
      <c r="I164" s="16">
        <v>95</v>
      </c>
      <c r="J164" s="16">
        <v>79</v>
      </c>
      <c r="K164" s="18">
        <v>8.8000000000000007</v>
      </c>
    </row>
    <row r="165" spans="1:11" x14ac:dyDescent="0.35">
      <c r="A165" s="19" t="s">
        <v>348</v>
      </c>
      <c r="B165" s="19" t="s">
        <v>349</v>
      </c>
      <c r="C165" s="19" t="s">
        <v>18</v>
      </c>
      <c r="D165" s="19" t="s">
        <v>19</v>
      </c>
      <c r="E165" s="19" t="s">
        <v>46</v>
      </c>
      <c r="F165" s="19">
        <v>8</v>
      </c>
      <c r="G165" s="20">
        <v>85</v>
      </c>
      <c r="H165" s="19">
        <v>80</v>
      </c>
      <c r="I165" s="19">
        <v>77</v>
      </c>
      <c r="J165" s="19">
        <v>48</v>
      </c>
      <c r="K165" s="21">
        <v>6.83</v>
      </c>
    </row>
    <row r="166" spans="1:11" x14ac:dyDescent="0.35">
      <c r="A166" s="16" t="s">
        <v>350</v>
      </c>
      <c r="B166" s="16" t="s">
        <v>351</v>
      </c>
      <c r="C166" s="16" t="s">
        <v>18</v>
      </c>
      <c r="D166" s="16" t="s">
        <v>23</v>
      </c>
      <c r="E166" s="16" t="s">
        <v>15</v>
      </c>
      <c r="F166" s="16">
        <v>8</v>
      </c>
      <c r="G166" s="17">
        <v>76</v>
      </c>
      <c r="H166" s="16">
        <v>89</v>
      </c>
      <c r="I166" s="16">
        <v>64</v>
      </c>
      <c r="J166" s="16">
        <v>83</v>
      </c>
      <c r="K166" s="18">
        <v>7.87</v>
      </c>
    </row>
    <row r="167" spans="1:11" x14ac:dyDescent="0.35">
      <c r="A167" s="19" t="s">
        <v>352</v>
      </c>
      <c r="B167" s="19" t="s">
        <v>353</v>
      </c>
      <c r="C167" s="19" t="s">
        <v>18</v>
      </c>
      <c r="D167" s="19" t="s">
        <v>57</v>
      </c>
      <c r="E167" s="19" t="s">
        <v>24</v>
      </c>
      <c r="F167" s="19">
        <v>3</v>
      </c>
      <c r="G167" s="20">
        <v>95</v>
      </c>
      <c r="H167" s="19">
        <v>82</v>
      </c>
      <c r="I167" s="19">
        <v>87</v>
      </c>
      <c r="J167" s="19">
        <v>51</v>
      </c>
      <c r="K167" s="21">
        <v>7.33</v>
      </c>
    </row>
    <row r="168" spans="1:11" x14ac:dyDescent="0.35">
      <c r="A168" s="16" t="s">
        <v>354</v>
      </c>
      <c r="B168" s="16" t="s">
        <v>355</v>
      </c>
      <c r="C168" s="16" t="s">
        <v>13</v>
      </c>
      <c r="D168" s="16" t="s">
        <v>57</v>
      </c>
      <c r="E168" s="16" t="s">
        <v>46</v>
      </c>
      <c r="F168" s="16">
        <v>1</v>
      </c>
      <c r="G168" s="17">
        <v>94</v>
      </c>
      <c r="H168" s="16">
        <v>63</v>
      </c>
      <c r="I168" s="16">
        <v>66</v>
      </c>
      <c r="J168" s="16">
        <v>50</v>
      </c>
      <c r="K168" s="18">
        <v>5.97</v>
      </c>
    </row>
    <row r="169" spans="1:11" x14ac:dyDescent="0.35">
      <c r="A169" s="19" t="s">
        <v>356</v>
      </c>
      <c r="B169" s="19" t="s">
        <v>357</v>
      </c>
      <c r="C169" s="19" t="s">
        <v>13</v>
      </c>
      <c r="D169" s="19" t="s">
        <v>23</v>
      </c>
      <c r="E169" s="19" t="s">
        <v>46</v>
      </c>
      <c r="F169" s="19">
        <v>5</v>
      </c>
      <c r="G169" s="20">
        <v>100</v>
      </c>
      <c r="H169" s="19">
        <v>64</v>
      </c>
      <c r="I169" s="19">
        <v>82</v>
      </c>
      <c r="J169" s="19">
        <v>74</v>
      </c>
      <c r="K169" s="21">
        <v>7.33</v>
      </c>
    </row>
    <row r="170" spans="1:11" x14ac:dyDescent="0.35">
      <c r="A170" s="16" t="s">
        <v>358</v>
      </c>
      <c r="B170" s="16" t="s">
        <v>359</v>
      </c>
      <c r="C170" s="16" t="s">
        <v>13</v>
      </c>
      <c r="D170" s="16" t="s">
        <v>14</v>
      </c>
      <c r="E170" s="16" t="s">
        <v>20</v>
      </c>
      <c r="F170" s="16">
        <v>3</v>
      </c>
      <c r="G170" s="17">
        <v>77</v>
      </c>
      <c r="H170" s="16">
        <v>62</v>
      </c>
      <c r="I170" s="16">
        <v>98</v>
      </c>
      <c r="J170" s="16">
        <v>55</v>
      </c>
      <c r="K170" s="18">
        <v>7.17</v>
      </c>
    </row>
    <row r="171" spans="1:11" x14ac:dyDescent="0.35">
      <c r="A171" s="19" t="s">
        <v>360</v>
      </c>
      <c r="B171" s="19" t="s">
        <v>361</v>
      </c>
      <c r="C171" s="19" t="s">
        <v>18</v>
      </c>
      <c r="D171" s="19" t="s">
        <v>14</v>
      </c>
      <c r="E171" s="19" t="s">
        <v>24</v>
      </c>
      <c r="F171" s="19">
        <v>5</v>
      </c>
      <c r="G171" s="20">
        <v>97</v>
      </c>
      <c r="H171" s="19">
        <v>70</v>
      </c>
      <c r="I171" s="19">
        <v>56</v>
      </c>
      <c r="J171" s="19">
        <v>55</v>
      </c>
      <c r="K171" s="21">
        <v>6.03</v>
      </c>
    </row>
    <row r="172" spans="1:11" x14ac:dyDescent="0.35">
      <c r="A172" s="16" t="s">
        <v>362</v>
      </c>
      <c r="B172" s="16" t="s">
        <v>363</v>
      </c>
      <c r="C172" s="16" t="s">
        <v>13</v>
      </c>
      <c r="D172" s="16" t="s">
        <v>57</v>
      </c>
      <c r="E172" s="16" t="s">
        <v>24</v>
      </c>
      <c r="F172" s="16">
        <v>5</v>
      </c>
      <c r="G172" s="17">
        <v>75</v>
      </c>
      <c r="H172" s="16">
        <v>63</v>
      </c>
      <c r="I172" s="16">
        <v>52</v>
      </c>
      <c r="J172" s="16">
        <v>84</v>
      </c>
      <c r="K172" s="18">
        <v>6.63</v>
      </c>
    </row>
    <row r="173" spans="1:11" x14ac:dyDescent="0.35">
      <c r="A173" s="19" t="s">
        <v>364</v>
      </c>
      <c r="B173" s="19" t="s">
        <v>365</v>
      </c>
      <c r="C173" s="19" t="s">
        <v>18</v>
      </c>
      <c r="D173" s="19" t="s">
        <v>19</v>
      </c>
      <c r="E173" s="19" t="s">
        <v>15</v>
      </c>
      <c r="F173" s="19">
        <v>3</v>
      </c>
      <c r="G173" s="20">
        <v>72</v>
      </c>
      <c r="H173" s="19">
        <v>89</v>
      </c>
      <c r="I173" s="19">
        <v>93</v>
      </c>
      <c r="J173" s="19">
        <v>50</v>
      </c>
      <c r="K173" s="21">
        <v>7.73</v>
      </c>
    </row>
    <row r="174" spans="1:11" x14ac:dyDescent="0.35">
      <c r="A174" s="16" t="s">
        <v>366</v>
      </c>
      <c r="B174" s="16" t="s">
        <v>367</v>
      </c>
      <c r="C174" s="16" t="s">
        <v>18</v>
      </c>
      <c r="D174" s="16" t="s">
        <v>23</v>
      </c>
      <c r="E174" s="16" t="s">
        <v>20</v>
      </c>
      <c r="F174" s="16">
        <v>1</v>
      </c>
      <c r="G174" s="17">
        <v>83</v>
      </c>
      <c r="H174" s="16">
        <v>96</v>
      </c>
      <c r="I174" s="16">
        <v>66</v>
      </c>
      <c r="J174" s="16">
        <v>99</v>
      </c>
      <c r="K174" s="18">
        <v>8.6999999999999993</v>
      </c>
    </row>
    <row r="175" spans="1:11" x14ac:dyDescent="0.35">
      <c r="A175" s="19" t="s">
        <v>368</v>
      </c>
      <c r="B175" s="19" t="s">
        <v>369</v>
      </c>
      <c r="C175" s="19" t="s">
        <v>13</v>
      </c>
      <c r="D175" s="19" t="s">
        <v>14</v>
      </c>
      <c r="E175" s="19" t="s">
        <v>46</v>
      </c>
      <c r="F175" s="19">
        <v>2</v>
      </c>
      <c r="G175" s="20">
        <v>98</v>
      </c>
      <c r="H175" s="19">
        <v>72</v>
      </c>
      <c r="I175" s="19">
        <v>43</v>
      </c>
      <c r="J175" s="19">
        <v>63</v>
      </c>
      <c r="K175" s="21">
        <v>5.93</v>
      </c>
    </row>
    <row r="176" spans="1:11" x14ac:dyDescent="0.35">
      <c r="A176" s="16" t="s">
        <v>370</v>
      </c>
      <c r="B176" s="16" t="s">
        <v>371</v>
      </c>
      <c r="C176" s="16" t="s">
        <v>13</v>
      </c>
      <c r="D176" s="16" t="s">
        <v>19</v>
      </c>
      <c r="E176" s="16" t="s">
        <v>15</v>
      </c>
      <c r="F176" s="16">
        <v>1</v>
      </c>
      <c r="G176" s="17">
        <v>67</v>
      </c>
      <c r="H176" s="16">
        <v>92</v>
      </c>
      <c r="I176" s="16">
        <v>86</v>
      </c>
      <c r="J176" s="16">
        <v>46</v>
      </c>
      <c r="K176" s="18">
        <v>7.47</v>
      </c>
    </row>
    <row r="177" spans="1:11" x14ac:dyDescent="0.35">
      <c r="A177" s="19" t="s">
        <v>372</v>
      </c>
      <c r="B177" s="19" t="s">
        <v>373</v>
      </c>
      <c r="C177" s="19" t="s">
        <v>18</v>
      </c>
      <c r="D177" s="19" t="s">
        <v>23</v>
      </c>
      <c r="E177" s="19" t="s">
        <v>24</v>
      </c>
      <c r="F177" s="19">
        <v>5</v>
      </c>
      <c r="G177" s="20">
        <v>77</v>
      </c>
      <c r="H177" s="19">
        <v>52</v>
      </c>
      <c r="I177" s="19">
        <v>47</v>
      </c>
      <c r="J177" s="19">
        <v>95</v>
      </c>
      <c r="K177" s="21">
        <v>6.47</v>
      </c>
    </row>
    <row r="178" spans="1:11" x14ac:dyDescent="0.35">
      <c r="A178" s="16" t="s">
        <v>374</v>
      </c>
      <c r="B178" s="16" t="s">
        <v>375</v>
      </c>
      <c r="C178" s="16" t="s">
        <v>13</v>
      </c>
      <c r="D178" s="16" t="s">
        <v>57</v>
      </c>
      <c r="E178" s="16" t="s">
        <v>24</v>
      </c>
      <c r="F178" s="16">
        <v>7</v>
      </c>
      <c r="G178" s="17">
        <v>80</v>
      </c>
      <c r="H178" s="16">
        <v>94</v>
      </c>
      <c r="I178" s="16">
        <v>77</v>
      </c>
      <c r="J178" s="16">
        <v>45</v>
      </c>
      <c r="K178" s="18">
        <v>7.2</v>
      </c>
    </row>
    <row r="179" spans="1:11" x14ac:dyDescent="0.35">
      <c r="A179" s="19" t="s">
        <v>376</v>
      </c>
      <c r="B179" s="19" t="s">
        <v>377</v>
      </c>
      <c r="C179" s="19" t="s">
        <v>13</v>
      </c>
      <c r="D179" s="19" t="s">
        <v>57</v>
      </c>
      <c r="E179" s="19" t="s">
        <v>15</v>
      </c>
      <c r="F179" s="19">
        <v>8</v>
      </c>
      <c r="G179" s="20">
        <v>60</v>
      </c>
      <c r="H179" s="19">
        <v>52</v>
      </c>
      <c r="I179" s="19">
        <v>68</v>
      </c>
      <c r="J179" s="19">
        <v>93</v>
      </c>
      <c r="K179" s="21">
        <v>7.1</v>
      </c>
    </row>
    <row r="180" spans="1:11" x14ac:dyDescent="0.35">
      <c r="A180" s="16" t="s">
        <v>378</v>
      </c>
      <c r="B180" s="16" t="s">
        <v>379</v>
      </c>
      <c r="C180" s="16" t="s">
        <v>13</v>
      </c>
      <c r="D180" s="16" t="s">
        <v>57</v>
      </c>
      <c r="E180" s="16" t="s">
        <v>24</v>
      </c>
      <c r="F180" s="16">
        <v>2</v>
      </c>
      <c r="G180" s="17">
        <v>61</v>
      </c>
      <c r="H180" s="16">
        <v>91</v>
      </c>
      <c r="I180" s="16">
        <v>99</v>
      </c>
      <c r="J180" s="16">
        <v>69</v>
      </c>
      <c r="K180" s="18">
        <v>8.6300000000000008</v>
      </c>
    </row>
    <row r="181" spans="1:11" x14ac:dyDescent="0.35">
      <c r="A181" s="19" t="s">
        <v>380</v>
      </c>
      <c r="B181" s="19" t="s">
        <v>381</v>
      </c>
      <c r="C181" s="19" t="s">
        <v>18</v>
      </c>
      <c r="D181" s="19" t="s">
        <v>57</v>
      </c>
      <c r="E181" s="19" t="s">
        <v>20</v>
      </c>
      <c r="F181" s="19">
        <v>7</v>
      </c>
      <c r="G181" s="20">
        <v>87</v>
      </c>
      <c r="H181" s="19">
        <v>63</v>
      </c>
      <c r="I181" s="19">
        <v>70</v>
      </c>
      <c r="J181" s="19">
        <v>35</v>
      </c>
      <c r="K181" s="21">
        <v>5.6</v>
      </c>
    </row>
    <row r="182" spans="1:11" x14ac:dyDescent="0.35">
      <c r="A182" s="16" t="s">
        <v>382</v>
      </c>
      <c r="B182" s="16" t="s">
        <v>383</v>
      </c>
      <c r="C182" s="16" t="s">
        <v>18</v>
      </c>
      <c r="D182" s="16" t="s">
        <v>19</v>
      </c>
      <c r="E182" s="16" t="s">
        <v>20</v>
      </c>
      <c r="F182" s="16">
        <v>4</v>
      </c>
      <c r="G182" s="17">
        <v>90</v>
      </c>
      <c r="H182" s="16">
        <v>51</v>
      </c>
      <c r="I182" s="16">
        <v>82</v>
      </c>
      <c r="J182" s="16">
        <v>41</v>
      </c>
      <c r="K182" s="18">
        <v>5.8</v>
      </c>
    </row>
    <row r="183" spans="1:11" x14ac:dyDescent="0.35">
      <c r="A183" s="19" t="s">
        <v>384</v>
      </c>
      <c r="B183" s="19" t="s">
        <v>385</v>
      </c>
      <c r="C183" s="19" t="s">
        <v>18</v>
      </c>
      <c r="D183" s="19" t="s">
        <v>14</v>
      </c>
      <c r="E183" s="19" t="s">
        <v>15</v>
      </c>
      <c r="F183" s="19">
        <v>5</v>
      </c>
      <c r="G183" s="20">
        <v>70</v>
      </c>
      <c r="H183" s="19">
        <v>57</v>
      </c>
      <c r="I183" s="19">
        <v>73</v>
      </c>
      <c r="J183" s="19">
        <v>38</v>
      </c>
      <c r="K183" s="21">
        <v>5.6</v>
      </c>
    </row>
    <row r="184" spans="1:11" x14ac:dyDescent="0.35">
      <c r="A184" s="16" t="s">
        <v>386</v>
      </c>
      <c r="B184" s="16" t="s">
        <v>387</v>
      </c>
      <c r="C184" s="16" t="s">
        <v>13</v>
      </c>
      <c r="D184" s="16" t="s">
        <v>57</v>
      </c>
      <c r="E184" s="16" t="s">
        <v>20</v>
      </c>
      <c r="F184" s="16">
        <v>4</v>
      </c>
      <c r="G184" s="17">
        <v>96</v>
      </c>
      <c r="H184" s="16">
        <v>82</v>
      </c>
      <c r="I184" s="16">
        <v>43</v>
      </c>
      <c r="J184" s="16">
        <v>46</v>
      </c>
      <c r="K184" s="18">
        <v>5.7</v>
      </c>
    </row>
    <row r="185" spans="1:11" x14ac:dyDescent="0.35">
      <c r="A185" s="19" t="s">
        <v>388</v>
      </c>
      <c r="B185" s="19" t="s">
        <v>389</v>
      </c>
      <c r="C185" s="19" t="s">
        <v>13</v>
      </c>
      <c r="D185" s="19" t="s">
        <v>14</v>
      </c>
      <c r="E185" s="19" t="s">
        <v>39</v>
      </c>
      <c r="F185" s="19">
        <v>2</v>
      </c>
      <c r="G185" s="20">
        <v>90</v>
      </c>
      <c r="H185" s="19">
        <v>86</v>
      </c>
      <c r="I185" s="19">
        <v>88</v>
      </c>
      <c r="J185" s="19">
        <v>36</v>
      </c>
      <c r="K185" s="21">
        <v>7</v>
      </c>
    </row>
    <row r="186" spans="1:11" x14ac:dyDescent="0.35">
      <c r="A186" s="16" t="s">
        <v>390</v>
      </c>
      <c r="B186" s="16" t="s">
        <v>391</v>
      </c>
      <c r="C186" s="16" t="s">
        <v>18</v>
      </c>
      <c r="D186" s="16" t="s">
        <v>19</v>
      </c>
      <c r="E186" s="16" t="s">
        <v>15</v>
      </c>
      <c r="F186" s="16">
        <v>6</v>
      </c>
      <c r="G186" s="17">
        <v>92</v>
      </c>
      <c r="H186" s="16">
        <v>53</v>
      </c>
      <c r="I186" s="16">
        <v>97</v>
      </c>
      <c r="J186" s="16">
        <v>89</v>
      </c>
      <c r="K186" s="18">
        <v>7.97</v>
      </c>
    </row>
    <row r="187" spans="1:11" x14ac:dyDescent="0.35">
      <c r="A187" s="19" t="s">
        <v>392</v>
      </c>
      <c r="B187" s="19" t="s">
        <v>393</v>
      </c>
      <c r="C187" s="19" t="s">
        <v>18</v>
      </c>
      <c r="D187" s="19" t="s">
        <v>14</v>
      </c>
      <c r="E187" s="19" t="s">
        <v>20</v>
      </c>
      <c r="F187" s="19">
        <v>4</v>
      </c>
      <c r="G187" s="20">
        <v>87</v>
      </c>
      <c r="H187" s="19">
        <v>50</v>
      </c>
      <c r="I187" s="19">
        <v>95</v>
      </c>
      <c r="J187" s="19">
        <v>49</v>
      </c>
      <c r="K187" s="21">
        <v>6.47</v>
      </c>
    </row>
    <row r="188" spans="1:11" x14ac:dyDescent="0.35">
      <c r="A188" s="16" t="s">
        <v>394</v>
      </c>
      <c r="B188" s="16" t="s">
        <v>395</v>
      </c>
      <c r="C188" s="16" t="s">
        <v>18</v>
      </c>
      <c r="D188" s="16" t="s">
        <v>57</v>
      </c>
      <c r="E188" s="16" t="s">
        <v>46</v>
      </c>
      <c r="F188" s="16">
        <v>6</v>
      </c>
      <c r="G188" s="17">
        <v>67</v>
      </c>
      <c r="H188" s="16">
        <v>52</v>
      </c>
      <c r="I188" s="16">
        <v>55</v>
      </c>
      <c r="J188" s="16">
        <v>90</v>
      </c>
      <c r="K188" s="18">
        <v>6.57</v>
      </c>
    </row>
    <row r="189" spans="1:11" x14ac:dyDescent="0.35">
      <c r="A189" s="19" t="s">
        <v>396</v>
      </c>
      <c r="B189" s="19" t="s">
        <v>397</v>
      </c>
      <c r="C189" s="19" t="s">
        <v>13</v>
      </c>
      <c r="D189" s="19" t="s">
        <v>57</v>
      </c>
      <c r="E189" s="19" t="s">
        <v>39</v>
      </c>
      <c r="F189" s="19">
        <v>7</v>
      </c>
      <c r="G189" s="20">
        <v>90</v>
      </c>
      <c r="H189" s="19">
        <v>81</v>
      </c>
      <c r="I189" s="19">
        <v>45</v>
      </c>
      <c r="J189" s="19">
        <v>66</v>
      </c>
      <c r="K189" s="21">
        <v>6.4</v>
      </c>
    </row>
    <row r="190" spans="1:11" x14ac:dyDescent="0.35">
      <c r="A190" s="16" t="s">
        <v>398</v>
      </c>
      <c r="B190" s="16" t="s">
        <v>399</v>
      </c>
      <c r="C190" s="16" t="s">
        <v>13</v>
      </c>
      <c r="D190" s="16" t="s">
        <v>57</v>
      </c>
      <c r="E190" s="16" t="s">
        <v>20</v>
      </c>
      <c r="F190" s="16">
        <v>5</v>
      </c>
      <c r="G190" s="17">
        <v>72</v>
      </c>
      <c r="H190" s="16">
        <v>65</v>
      </c>
      <c r="I190" s="16">
        <v>73</v>
      </c>
      <c r="J190" s="16">
        <v>46</v>
      </c>
      <c r="K190" s="18">
        <v>6.13</v>
      </c>
    </row>
    <row r="191" spans="1:11" x14ac:dyDescent="0.35">
      <c r="A191" s="19" t="s">
        <v>400</v>
      </c>
      <c r="B191" s="19" t="s">
        <v>401</v>
      </c>
      <c r="C191" s="19" t="s">
        <v>18</v>
      </c>
      <c r="D191" s="19" t="s">
        <v>19</v>
      </c>
      <c r="E191" s="19" t="s">
        <v>39</v>
      </c>
      <c r="F191" s="19">
        <v>3</v>
      </c>
      <c r="G191" s="20">
        <v>81</v>
      </c>
      <c r="H191" s="19">
        <v>68</v>
      </c>
      <c r="I191" s="19">
        <v>54</v>
      </c>
      <c r="J191" s="19">
        <v>73</v>
      </c>
      <c r="K191" s="21">
        <v>6.5</v>
      </c>
    </row>
    <row r="192" spans="1:11" x14ac:dyDescent="0.35">
      <c r="A192" s="16" t="s">
        <v>402</v>
      </c>
      <c r="B192" s="16" t="s">
        <v>403</v>
      </c>
      <c r="C192" s="16" t="s">
        <v>13</v>
      </c>
      <c r="D192" s="16" t="s">
        <v>19</v>
      </c>
      <c r="E192" s="16" t="s">
        <v>15</v>
      </c>
      <c r="F192" s="16">
        <v>7</v>
      </c>
      <c r="G192" s="17">
        <v>97</v>
      </c>
      <c r="H192" s="16">
        <v>64</v>
      </c>
      <c r="I192" s="16">
        <v>66</v>
      </c>
      <c r="J192" s="16">
        <v>85</v>
      </c>
      <c r="K192" s="18">
        <v>7.17</v>
      </c>
    </row>
    <row r="193" spans="1:11" x14ac:dyDescent="0.35">
      <c r="A193" s="19" t="s">
        <v>404</v>
      </c>
      <c r="B193" s="19" t="s">
        <v>405</v>
      </c>
      <c r="C193" s="19" t="s">
        <v>18</v>
      </c>
      <c r="D193" s="19" t="s">
        <v>14</v>
      </c>
      <c r="E193" s="19" t="s">
        <v>24</v>
      </c>
      <c r="F193" s="19">
        <v>5</v>
      </c>
      <c r="G193" s="20">
        <v>70</v>
      </c>
      <c r="H193" s="19">
        <v>100</v>
      </c>
      <c r="I193" s="19">
        <v>86</v>
      </c>
      <c r="J193" s="19">
        <v>85</v>
      </c>
      <c r="K193" s="21">
        <v>9.0299999999999994</v>
      </c>
    </row>
    <row r="194" spans="1:11" x14ac:dyDescent="0.35">
      <c r="A194" s="16" t="s">
        <v>406</v>
      </c>
      <c r="B194" s="16" t="s">
        <v>407</v>
      </c>
      <c r="C194" s="16" t="s">
        <v>13</v>
      </c>
      <c r="D194" s="16" t="s">
        <v>57</v>
      </c>
      <c r="E194" s="16" t="s">
        <v>15</v>
      </c>
      <c r="F194" s="16">
        <v>5</v>
      </c>
      <c r="G194" s="17">
        <v>92</v>
      </c>
      <c r="H194" s="16">
        <v>52</v>
      </c>
      <c r="I194" s="16">
        <v>75</v>
      </c>
      <c r="J194" s="16">
        <v>38</v>
      </c>
      <c r="K194" s="18">
        <v>5.5</v>
      </c>
    </row>
    <row r="195" spans="1:11" x14ac:dyDescent="0.35">
      <c r="A195" s="19" t="s">
        <v>408</v>
      </c>
      <c r="B195" s="19" t="s">
        <v>409</v>
      </c>
      <c r="C195" s="19" t="s">
        <v>13</v>
      </c>
      <c r="D195" s="19" t="s">
        <v>19</v>
      </c>
      <c r="E195" s="19" t="s">
        <v>46</v>
      </c>
      <c r="F195" s="19">
        <v>3</v>
      </c>
      <c r="G195" s="20">
        <v>84</v>
      </c>
      <c r="H195" s="19">
        <v>55</v>
      </c>
      <c r="I195" s="19">
        <v>63</v>
      </c>
      <c r="J195" s="19">
        <v>59</v>
      </c>
      <c r="K195" s="21">
        <v>5.9</v>
      </c>
    </row>
    <row r="196" spans="1:11" x14ac:dyDescent="0.35">
      <c r="A196" s="16" t="s">
        <v>410</v>
      </c>
      <c r="B196" s="16" t="s">
        <v>411</v>
      </c>
      <c r="C196" s="16" t="s">
        <v>18</v>
      </c>
      <c r="D196" s="16" t="s">
        <v>19</v>
      </c>
      <c r="E196" s="16" t="s">
        <v>39</v>
      </c>
      <c r="F196" s="16">
        <v>5</v>
      </c>
      <c r="G196" s="17">
        <v>66</v>
      </c>
      <c r="H196" s="16">
        <v>93</v>
      </c>
      <c r="I196" s="16">
        <v>62</v>
      </c>
      <c r="J196" s="16">
        <v>61</v>
      </c>
      <c r="K196" s="18">
        <v>7.2</v>
      </c>
    </row>
    <row r="197" spans="1:11" x14ac:dyDescent="0.35">
      <c r="A197" s="19" t="s">
        <v>412</v>
      </c>
      <c r="B197" s="19" t="s">
        <v>413</v>
      </c>
      <c r="C197" s="19" t="s">
        <v>13</v>
      </c>
      <c r="D197" s="19" t="s">
        <v>57</v>
      </c>
      <c r="E197" s="19" t="s">
        <v>20</v>
      </c>
      <c r="F197" s="19">
        <v>6</v>
      </c>
      <c r="G197" s="20">
        <v>86</v>
      </c>
      <c r="H197" s="19">
        <v>51</v>
      </c>
      <c r="I197" s="19">
        <v>92</v>
      </c>
      <c r="J197" s="19">
        <v>43</v>
      </c>
      <c r="K197" s="21">
        <v>6.2</v>
      </c>
    </row>
    <row r="198" spans="1:11" x14ac:dyDescent="0.35">
      <c r="A198" s="16" t="s">
        <v>414</v>
      </c>
      <c r="B198" s="16" t="s">
        <v>415</v>
      </c>
      <c r="C198" s="16" t="s">
        <v>18</v>
      </c>
      <c r="D198" s="16" t="s">
        <v>19</v>
      </c>
      <c r="E198" s="16" t="s">
        <v>39</v>
      </c>
      <c r="F198" s="16">
        <v>2</v>
      </c>
      <c r="G198" s="17">
        <v>65</v>
      </c>
      <c r="H198" s="16">
        <v>67</v>
      </c>
      <c r="I198" s="16">
        <v>96</v>
      </c>
      <c r="J198" s="16">
        <v>62</v>
      </c>
      <c r="K198" s="18">
        <v>7.5</v>
      </c>
    </row>
    <row r="199" spans="1:11" x14ac:dyDescent="0.35">
      <c r="A199" s="19" t="s">
        <v>416</v>
      </c>
      <c r="B199" s="19" t="s">
        <v>417</v>
      </c>
      <c r="C199" s="19" t="s">
        <v>13</v>
      </c>
      <c r="D199" s="19" t="s">
        <v>23</v>
      </c>
      <c r="E199" s="19" t="s">
        <v>24</v>
      </c>
      <c r="F199" s="19">
        <v>5</v>
      </c>
      <c r="G199" s="20">
        <v>94</v>
      </c>
      <c r="H199" s="19">
        <v>68</v>
      </c>
      <c r="I199" s="19">
        <v>64</v>
      </c>
      <c r="J199" s="19">
        <v>49</v>
      </c>
      <c r="K199" s="21">
        <v>6.03</v>
      </c>
    </row>
    <row r="200" spans="1:11" x14ac:dyDescent="0.35">
      <c r="A200" s="16" t="s">
        <v>418</v>
      </c>
      <c r="B200" s="16" t="s">
        <v>419</v>
      </c>
      <c r="C200" s="16" t="s">
        <v>13</v>
      </c>
      <c r="D200" s="16" t="s">
        <v>19</v>
      </c>
      <c r="E200" s="16" t="s">
        <v>20</v>
      </c>
      <c r="F200" s="16">
        <v>3</v>
      </c>
      <c r="G200" s="17">
        <v>79</v>
      </c>
      <c r="H200" s="16">
        <v>72</v>
      </c>
      <c r="I200" s="16">
        <v>67</v>
      </c>
      <c r="J200" s="16">
        <v>94</v>
      </c>
      <c r="K200" s="18">
        <v>7.77</v>
      </c>
    </row>
    <row r="201" spans="1:11" x14ac:dyDescent="0.35">
      <c r="A201" s="19" t="s">
        <v>420</v>
      </c>
      <c r="B201" s="19" t="s">
        <v>421</v>
      </c>
      <c r="C201" s="19" t="s">
        <v>13</v>
      </c>
      <c r="D201" s="19" t="s">
        <v>57</v>
      </c>
      <c r="E201" s="19" t="s">
        <v>20</v>
      </c>
      <c r="F201" s="19">
        <v>1</v>
      </c>
      <c r="G201" s="20">
        <v>82</v>
      </c>
      <c r="H201" s="19">
        <v>74</v>
      </c>
      <c r="I201" s="19">
        <v>98</v>
      </c>
      <c r="J201" s="19">
        <v>59</v>
      </c>
      <c r="K201" s="21">
        <v>7.7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D7377"/>
  </sheetPr>
  <dimension ref="A1:J201"/>
  <sheetViews>
    <sheetView topLeftCell="A7" zoomScaleNormal="100" workbookViewId="0">
      <selection sqref="A1:D1"/>
    </sheetView>
  </sheetViews>
  <sheetFormatPr defaultColWidth="8.6328125" defaultRowHeight="14.5" x14ac:dyDescent="0.35"/>
  <cols>
    <col min="1" max="1" width="22" customWidth="1"/>
    <col min="2" max="2" width="10" customWidth="1"/>
    <col min="3" max="3" width="13" customWidth="1"/>
    <col min="4" max="4" width="10" customWidth="1"/>
    <col min="5" max="5" width="16" customWidth="1"/>
    <col min="6" max="7" width="10" customWidth="1"/>
    <col min="8" max="9" width="12" customWidth="1"/>
    <col min="10" max="10" width="10" customWidth="1"/>
  </cols>
  <sheetData>
    <row r="1" spans="1:10" x14ac:dyDescent="0.35">
      <c r="A1" s="14" t="s">
        <v>422</v>
      </c>
      <c r="B1" s="14"/>
      <c r="C1" s="14"/>
      <c r="D1" s="14"/>
      <c r="E1" s="13" t="s">
        <v>423</v>
      </c>
      <c r="F1" s="13"/>
      <c r="G1" s="13"/>
      <c r="H1" s="22" t="s">
        <v>0</v>
      </c>
      <c r="I1" s="22" t="s">
        <v>424</v>
      </c>
      <c r="J1" s="22" t="s">
        <v>10</v>
      </c>
    </row>
    <row r="2" spans="1:10" x14ac:dyDescent="0.35">
      <c r="A2" s="23" t="s">
        <v>425</v>
      </c>
      <c r="B2" s="24">
        <f>COUNTA('Student Data'!A2:A201)</f>
        <v>200</v>
      </c>
      <c r="F2" s="22" t="s">
        <v>426</v>
      </c>
      <c r="H2" s="25" t="s">
        <v>11</v>
      </c>
      <c r="I2" s="25">
        <v>77</v>
      </c>
      <c r="J2" s="25">
        <v>6</v>
      </c>
    </row>
    <row r="3" spans="1:10" x14ac:dyDescent="0.35">
      <c r="A3" s="23" t="s">
        <v>426</v>
      </c>
      <c r="B3" s="21">
        <f>AVERAGE('Student Data'!K2:K201)</f>
        <v>7.1414500000000043</v>
      </c>
      <c r="E3" s="23" t="s">
        <v>427</v>
      </c>
      <c r="F3" s="21">
        <f>AVERAGEIF('Student Data'!F2:F201,1,'Student Data'!K2:K201)</f>
        <v>7.1774074074074061</v>
      </c>
      <c r="H3" s="25" t="s">
        <v>16</v>
      </c>
      <c r="I3" s="25">
        <v>66</v>
      </c>
      <c r="J3" s="25">
        <v>8.07</v>
      </c>
    </row>
    <row r="4" spans="1:10" x14ac:dyDescent="0.35">
      <c r="A4" s="23" t="s">
        <v>428</v>
      </c>
      <c r="B4" s="20">
        <f>AVERAGE('Student Data'!G2:G201)</f>
        <v>80.364999999999995</v>
      </c>
      <c r="E4" s="23" t="s">
        <v>429</v>
      </c>
      <c r="F4" s="21">
        <f>AVERAGEIF('Student Data'!F2:F201,2,'Student Data'!K2:K201)</f>
        <v>7.1891304347826068</v>
      </c>
      <c r="H4" s="25" t="s">
        <v>21</v>
      </c>
      <c r="I4" s="25">
        <v>89</v>
      </c>
      <c r="J4" s="25">
        <v>7.23</v>
      </c>
    </row>
    <row r="5" spans="1:10" x14ac:dyDescent="0.35">
      <c r="A5" s="23" t="s">
        <v>430</v>
      </c>
      <c r="B5" s="20">
        <f>COUNTIF('Student Data'!K2:K201,"&gt;="&amp;5)/COUNTA('Student Data'!A2:A201)*100</f>
        <v>100</v>
      </c>
      <c r="E5" s="23" t="s">
        <v>431</v>
      </c>
      <c r="F5" s="21">
        <f>AVERAGEIF('Student Data'!F2:F201,3,'Student Data'!K2:K201)</f>
        <v>7.0385185185185195</v>
      </c>
      <c r="H5" s="25" t="s">
        <v>25</v>
      </c>
      <c r="I5" s="25">
        <v>94</v>
      </c>
      <c r="J5" s="25">
        <v>7.67</v>
      </c>
    </row>
    <row r="6" spans="1:10" x14ac:dyDescent="0.35">
      <c r="E6" s="23" t="s">
        <v>432</v>
      </c>
      <c r="F6" s="21">
        <f>AVERAGEIF('Student Data'!F2:F201,4,'Student Data'!K2:K201)</f>
        <v>6.9253571428571403</v>
      </c>
      <c r="H6" s="25" t="s">
        <v>27</v>
      </c>
      <c r="I6" s="25">
        <v>88</v>
      </c>
      <c r="J6" s="25">
        <v>5.97</v>
      </c>
    </row>
    <row r="7" spans="1:10" x14ac:dyDescent="0.35">
      <c r="E7" s="23" t="s">
        <v>433</v>
      </c>
      <c r="F7" s="21">
        <f>AVERAGEIF('Student Data'!F2:F201,5,'Student Data'!K2:K201)</f>
        <v>7.2552941176470593</v>
      </c>
      <c r="H7" s="25" t="s">
        <v>29</v>
      </c>
      <c r="I7" s="25">
        <v>93</v>
      </c>
      <c r="J7" s="25">
        <v>7.13</v>
      </c>
    </row>
    <row r="8" spans="1:10" x14ac:dyDescent="0.35">
      <c r="A8" s="13" t="s">
        <v>434</v>
      </c>
      <c r="B8" s="13"/>
      <c r="C8" s="13"/>
      <c r="E8" s="23" t="s">
        <v>435</v>
      </c>
      <c r="F8" s="21">
        <f>AVERAGEIF('Student Data'!F2:F201,6,'Student Data'!K2:K201)</f>
        <v>7.383181818181817</v>
      </c>
      <c r="H8" s="25" t="s">
        <v>31</v>
      </c>
      <c r="I8" s="25">
        <v>65</v>
      </c>
      <c r="J8" s="25">
        <v>8.17</v>
      </c>
    </row>
    <row r="9" spans="1:10" x14ac:dyDescent="0.35">
      <c r="B9" s="22" t="s">
        <v>426</v>
      </c>
      <c r="C9" s="22" t="s">
        <v>436</v>
      </c>
      <c r="E9" s="23" t="s">
        <v>437</v>
      </c>
      <c r="F9" s="21">
        <f>AVERAGEIF('Student Data'!F2:F201,7,'Student Data'!K2:K201)</f>
        <v>7.1262499999999998</v>
      </c>
      <c r="H9" s="25" t="s">
        <v>33</v>
      </c>
      <c r="I9" s="25">
        <v>70</v>
      </c>
      <c r="J9" s="25">
        <v>7.5</v>
      </c>
    </row>
    <row r="10" spans="1:10" x14ac:dyDescent="0.35">
      <c r="A10" s="23" t="s">
        <v>24</v>
      </c>
      <c r="B10" s="21">
        <f>AVERAGEIF('Student Data'!E2:E201,A10,'Student Data'!K2:K201)</f>
        <v>7.2399999999999984</v>
      </c>
      <c r="C10" s="24">
        <f>COUNTIF('Student Data'!E2:E201,A10)</f>
        <v>44</v>
      </c>
      <c r="E10" s="23" t="s">
        <v>438</v>
      </c>
      <c r="F10" s="21">
        <f>AVERAGEIF('Student Data'!F2:F201,8,'Student Data'!K2:K201)</f>
        <v>7.0039999999999996</v>
      </c>
      <c r="H10" s="25" t="s">
        <v>35</v>
      </c>
      <c r="I10" s="25">
        <v>67</v>
      </c>
      <c r="J10" s="25">
        <v>6.3</v>
      </c>
    </row>
    <row r="11" spans="1:10" x14ac:dyDescent="0.35">
      <c r="A11" s="23" t="s">
        <v>39</v>
      </c>
      <c r="B11" s="21">
        <f>AVERAGEIF('Student Data'!E2:E201,A11,'Student Data'!K2:K201)</f>
        <v>7.1744999999999992</v>
      </c>
      <c r="C11" s="24">
        <f>COUNTIF('Student Data'!E2:E201,A11)</f>
        <v>40</v>
      </c>
      <c r="H11" s="25" t="s">
        <v>37</v>
      </c>
      <c r="I11" s="25">
        <v>62</v>
      </c>
      <c r="J11" s="25">
        <v>8</v>
      </c>
    </row>
    <row r="12" spans="1:10" x14ac:dyDescent="0.35">
      <c r="A12" s="23" t="s">
        <v>15</v>
      </c>
      <c r="B12" s="21">
        <f>AVERAGEIF('Student Data'!E2:E201,A12,'Student Data'!K2:K201)</f>
        <v>7.1015555555555592</v>
      </c>
      <c r="C12" s="24">
        <f>COUNTIF('Student Data'!E2:E201,A12)</f>
        <v>45</v>
      </c>
      <c r="E12" s="13" t="s">
        <v>439</v>
      </c>
      <c r="F12" s="13"/>
      <c r="G12" s="13"/>
      <c r="H12" s="25" t="s">
        <v>40</v>
      </c>
      <c r="I12" s="25">
        <v>86</v>
      </c>
      <c r="J12" s="25">
        <v>8.73</v>
      </c>
    </row>
    <row r="13" spans="1:10" x14ac:dyDescent="0.35">
      <c r="A13" s="23" t="s">
        <v>20</v>
      </c>
      <c r="B13" s="21">
        <f>AVERAGEIF('Student Data'!E2:E201,A13,'Student Data'!K2:K201)</f>
        <v>7.1162857142857137</v>
      </c>
      <c r="C13" s="24">
        <f>COUNTIF('Student Data'!E2:E201,A13)</f>
        <v>35</v>
      </c>
      <c r="F13" s="22" t="s">
        <v>426</v>
      </c>
      <c r="H13" s="25" t="s">
        <v>42</v>
      </c>
      <c r="I13" s="25">
        <v>100</v>
      </c>
      <c r="J13" s="25">
        <v>8.43</v>
      </c>
    </row>
    <row r="14" spans="1:10" x14ac:dyDescent="0.35">
      <c r="A14" s="23" t="s">
        <v>46</v>
      </c>
      <c r="B14" s="21">
        <f>AVERAGEIF('Student Data'!E2:E201,A14,'Student Data'!K2:K201)</f>
        <v>7.0586111111111114</v>
      </c>
      <c r="C14" s="24">
        <f>COUNTIF('Student Data'!E2:E201,A14)</f>
        <v>36</v>
      </c>
      <c r="E14" s="23" t="s">
        <v>13</v>
      </c>
      <c r="F14" s="21">
        <f>AVERAGEIF('Student Data'!C2:C201,E14,'Student Data'!K2:K201)</f>
        <v>7.035151515151516</v>
      </c>
      <c r="H14" s="25" t="s">
        <v>44</v>
      </c>
      <c r="I14" s="25">
        <v>69</v>
      </c>
      <c r="J14" s="25">
        <v>7.77</v>
      </c>
    </row>
    <row r="15" spans="1:10" x14ac:dyDescent="0.35">
      <c r="E15" s="23" t="s">
        <v>18</v>
      </c>
      <c r="F15" s="21">
        <f>AVERAGEIF('Student Data'!C2:C201,E15,'Student Data'!K2:K201)</f>
        <v>7.2456435643564374</v>
      </c>
      <c r="H15" s="25" t="s">
        <v>47</v>
      </c>
      <c r="I15" s="25">
        <v>70</v>
      </c>
      <c r="J15" s="25">
        <v>5</v>
      </c>
    </row>
    <row r="16" spans="1:10" x14ac:dyDescent="0.35">
      <c r="H16" s="25" t="s">
        <v>49</v>
      </c>
      <c r="I16" s="25">
        <v>61</v>
      </c>
      <c r="J16" s="25">
        <v>6.43</v>
      </c>
    </row>
    <row r="17" spans="1:10" x14ac:dyDescent="0.35">
      <c r="A17" s="14" t="s">
        <v>440</v>
      </c>
      <c r="B17" s="14"/>
      <c r="C17" s="14"/>
      <c r="D17" s="14"/>
      <c r="H17" s="25" t="s">
        <v>51</v>
      </c>
      <c r="I17" s="25">
        <v>96</v>
      </c>
      <c r="J17" s="25">
        <v>8.43</v>
      </c>
    </row>
    <row r="18" spans="1:10" x14ac:dyDescent="0.35">
      <c r="A18" s="22" t="s">
        <v>441</v>
      </c>
      <c r="B18" s="22" t="s">
        <v>4</v>
      </c>
      <c r="C18" s="22" t="s">
        <v>3</v>
      </c>
      <c r="D18" s="22" t="s">
        <v>10</v>
      </c>
      <c r="H18" s="25" t="s">
        <v>53</v>
      </c>
      <c r="I18" s="25">
        <v>94</v>
      </c>
      <c r="J18" s="25">
        <v>6.93</v>
      </c>
    </row>
    <row r="19" spans="1:10" x14ac:dyDescent="0.35">
      <c r="A19" s="26" t="s">
        <v>93</v>
      </c>
      <c r="B19" s="26" t="s">
        <v>24</v>
      </c>
      <c r="C19" s="26" t="s">
        <v>14</v>
      </c>
      <c r="D19" s="27">
        <v>9.43</v>
      </c>
      <c r="H19" s="25" t="s">
        <v>55</v>
      </c>
      <c r="I19" s="25">
        <v>80</v>
      </c>
      <c r="J19" s="25">
        <v>5.6</v>
      </c>
    </row>
    <row r="20" spans="1:10" x14ac:dyDescent="0.35">
      <c r="A20" s="19" t="s">
        <v>175</v>
      </c>
      <c r="B20" s="19" t="s">
        <v>20</v>
      </c>
      <c r="C20" s="19" t="s">
        <v>23</v>
      </c>
      <c r="D20" s="21">
        <v>9.3000000000000007</v>
      </c>
      <c r="H20" s="25" t="s">
        <v>58</v>
      </c>
      <c r="I20" s="25">
        <v>88</v>
      </c>
      <c r="J20" s="25">
        <v>7.27</v>
      </c>
    </row>
    <row r="21" spans="1:10" x14ac:dyDescent="0.35">
      <c r="A21" s="28" t="s">
        <v>301</v>
      </c>
      <c r="B21" s="28" t="s">
        <v>15</v>
      </c>
      <c r="C21" s="28" t="s">
        <v>57</v>
      </c>
      <c r="D21" s="29">
        <v>9.17</v>
      </c>
      <c r="H21" s="25" t="s">
        <v>60</v>
      </c>
      <c r="I21" s="25">
        <v>98</v>
      </c>
      <c r="J21" s="25">
        <v>8.8000000000000007</v>
      </c>
    </row>
    <row r="22" spans="1:10" x14ac:dyDescent="0.35">
      <c r="A22" s="19" t="s">
        <v>201</v>
      </c>
      <c r="B22" s="19" t="s">
        <v>46</v>
      </c>
      <c r="C22" s="19" t="s">
        <v>23</v>
      </c>
      <c r="D22" s="21">
        <v>9.1</v>
      </c>
      <c r="H22" s="25" t="s">
        <v>62</v>
      </c>
      <c r="I22" s="25">
        <v>65</v>
      </c>
      <c r="J22" s="25">
        <v>5.93</v>
      </c>
    </row>
    <row r="23" spans="1:10" x14ac:dyDescent="0.35">
      <c r="A23" s="28" t="s">
        <v>205</v>
      </c>
      <c r="B23" s="28" t="s">
        <v>24</v>
      </c>
      <c r="C23" s="28" t="s">
        <v>57</v>
      </c>
      <c r="D23" s="29">
        <v>9.1</v>
      </c>
      <c r="H23" s="25" t="s">
        <v>64</v>
      </c>
      <c r="I23" s="25">
        <v>86</v>
      </c>
      <c r="J23" s="25">
        <v>5.7</v>
      </c>
    </row>
    <row r="24" spans="1:10" x14ac:dyDescent="0.35">
      <c r="A24" s="19" t="s">
        <v>405</v>
      </c>
      <c r="B24" s="19" t="s">
        <v>24</v>
      </c>
      <c r="C24" s="19" t="s">
        <v>14</v>
      </c>
      <c r="D24" s="21">
        <v>9.0299999999999994</v>
      </c>
      <c r="H24" s="25" t="s">
        <v>66</v>
      </c>
      <c r="I24" s="25">
        <v>88</v>
      </c>
      <c r="J24" s="25">
        <v>8.1</v>
      </c>
    </row>
    <row r="25" spans="1:10" x14ac:dyDescent="0.35">
      <c r="A25" s="28" t="s">
        <v>227</v>
      </c>
      <c r="B25" s="28" t="s">
        <v>20</v>
      </c>
      <c r="C25" s="28" t="s">
        <v>14</v>
      </c>
      <c r="D25" s="29">
        <v>8.9700000000000006</v>
      </c>
      <c r="H25" s="25" t="s">
        <v>68</v>
      </c>
      <c r="I25" s="25">
        <v>97</v>
      </c>
      <c r="J25" s="25">
        <v>7.83</v>
      </c>
    </row>
    <row r="26" spans="1:10" x14ac:dyDescent="0.35">
      <c r="A26" s="19" t="s">
        <v>61</v>
      </c>
      <c r="B26" s="19" t="s">
        <v>46</v>
      </c>
      <c r="C26" s="19" t="s">
        <v>14</v>
      </c>
      <c r="D26" s="21">
        <v>8.8000000000000007</v>
      </c>
      <c r="H26" s="25" t="s">
        <v>70</v>
      </c>
      <c r="I26" s="25">
        <v>100</v>
      </c>
      <c r="J26" s="25">
        <v>8.27</v>
      </c>
    </row>
    <row r="27" spans="1:10" x14ac:dyDescent="0.35">
      <c r="A27" s="28" t="s">
        <v>347</v>
      </c>
      <c r="B27" s="28" t="s">
        <v>39</v>
      </c>
      <c r="C27" s="28" t="s">
        <v>19</v>
      </c>
      <c r="D27" s="29">
        <v>8.8000000000000007</v>
      </c>
      <c r="H27" s="25" t="s">
        <v>72</v>
      </c>
      <c r="I27" s="25">
        <v>75</v>
      </c>
      <c r="J27" s="25">
        <v>6</v>
      </c>
    </row>
    <row r="28" spans="1:10" x14ac:dyDescent="0.35">
      <c r="A28" s="19" t="s">
        <v>127</v>
      </c>
      <c r="B28" s="19" t="s">
        <v>24</v>
      </c>
      <c r="C28" s="19" t="s">
        <v>19</v>
      </c>
      <c r="D28" s="21">
        <v>8.77</v>
      </c>
      <c r="H28" s="25" t="s">
        <v>74</v>
      </c>
      <c r="I28" s="25">
        <v>78</v>
      </c>
      <c r="J28" s="25">
        <v>7</v>
      </c>
    </row>
    <row r="29" spans="1:10" x14ac:dyDescent="0.35">
      <c r="H29" s="25" t="s">
        <v>76</v>
      </c>
      <c r="I29" s="25">
        <v>89</v>
      </c>
      <c r="J29" s="25">
        <v>6.7</v>
      </c>
    </row>
    <row r="30" spans="1:10" x14ac:dyDescent="0.35">
      <c r="H30" s="25" t="s">
        <v>78</v>
      </c>
      <c r="I30" s="25">
        <v>88</v>
      </c>
      <c r="J30" s="25">
        <v>6.9</v>
      </c>
    </row>
    <row r="31" spans="1:10" x14ac:dyDescent="0.35">
      <c r="H31" s="25" t="s">
        <v>80</v>
      </c>
      <c r="I31" s="25">
        <v>76</v>
      </c>
      <c r="J31" s="25">
        <v>6.6</v>
      </c>
    </row>
    <row r="32" spans="1:10" x14ac:dyDescent="0.35">
      <c r="H32" s="25" t="s">
        <v>82</v>
      </c>
      <c r="I32" s="25">
        <v>92</v>
      </c>
      <c r="J32" s="25">
        <v>7.03</v>
      </c>
    </row>
    <row r="33" spans="8:10" x14ac:dyDescent="0.35">
      <c r="H33" s="25" t="s">
        <v>84</v>
      </c>
      <c r="I33" s="25">
        <v>82</v>
      </c>
      <c r="J33" s="25">
        <v>7.8</v>
      </c>
    </row>
    <row r="34" spans="8:10" x14ac:dyDescent="0.35">
      <c r="H34" s="25" t="s">
        <v>86</v>
      </c>
      <c r="I34" s="25">
        <v>78</v>
      </c>
      <c r="J34" s="25">
        <v>7.37</v>
      </c>
    </row>
    <row r="35" spans="8:10" x14ac:dyDescent="0.35">
      <c r="H35" s="25" t="s">
        <v>88</v>
      </c>
      <c r="I35" s="25">
        <v>83</v>
      </c>
      <c r="J35" s="25">
        <v>6.13</v>
      </c>
    </row>
    <row r="36" spans="8:10" x14ac:dyDescent="0.35">
      <c r="H36" s="25" t="s">
        <v>90</v>
      </c>
      <c r="I36" s="25">
        <v>74</v>
      </c>
      <c r="J36" s="25">
        <v>6.23</v>
      </c>
    </row>
    <row r="37" spans="8:10" x14ac:dyDescent="0.35">
      <c r="H37" s="25" t="s">
        <v>92</v>
      </c>
      <c r="I37" s="25">
        <v>90</v>
      </c>
      <c r="J37" s="25">
        <v>9.43</v>
      </c>
    </row>
    <row r="38" spans="8:10" x14ac:dyDescent="0.35">
      <c r="H38" s="25" t="s">
        <v>94</v>
      </c>
      <c r="I38" s="25">
        <v>84</v>
      </c>
      <c r="J38" s="25">
        <v>5.77</v>
      </c>
    </row>
    <row r="39" spans="8:10" x14ac:dyDescent="0.35">
      <c r="H39" s="25" t="s">
        <v>96</v>
      </c>
      <c r="I39" s="25">
        <v>60</v>
      </c>
      <c r="J39" s="25">
        <v>8.0299999999999994</v>
      </c>
    </row>
    <row r="40" spans="8:10" x14ac:dyDescent="0.35">
      <c r="H40" s="25" t="s">
        <v>98</v>
      </c>
      <c r="I40" s="25">
        <v>85</v>
      </c>
      <c r="J40" s="25">
        <v>8.17</v>
      </c>
    </row>
    <row r="41" spans="8:10" x14ac:dyDescent="0.35">
      <c r="H41" s="25" t="s">
        <v>100</v>
      </c>
      <c r="I41" s="25">
        <v>64</v>
      </c>
      <c r="J41" s="25">
        <v>7.9</v>
      </c>
    </row>
    <row r="42" spans="8:10" x14ac:dyDescent="0.35">
      <c r="H42" s="25" t="s">
        <v>102</v>
      </c>
      <c r="I42" s="25">
        <v>72</v>
      </c>
      <c r="J42" s="25">
        <v>8</v>
      </c>
    </row>
    <row r="43" spans="8:10" x14ac:dyDescent="0.35">
      <c r="H43" s="25" t="s">
        <v>104</v>
      </c>
      <c r="I43" s="25">
        <v>66</v>
      </c>
      <c r="J43" s="25">
        <v>8.27</v>
      </c>
    </row>
    <row r="44" spans="8:10" x14ac:dyDescent="0.35">
      <c r="H44" s="25" t="s">
        <v>106</v>
      </c>
      <c r="I44" s="25">
        <v>83</v>
      </c>
      <c r="J44" s="25">
        <v>7.73</v>
      </c>
    </row>
    <row r="45" spans="8:10" x14ac:dyDescent="0.35">
      <c r="H45" s="25" t="s">
        <v>108</v>
      </c>
      <c r="I45" s="25">
        <v>75</v>
      </c>
      <c r="J45" s="25">
        <v>6.47</v>
      </c>
    </row>
    <row r="46" spans="8:10" x14ac:dyDescent="0.35">
      <c r="H46" s="25" t="s">
        <v>110</v>
      </c>
      <c r="I46" s="25">
        <v>72</v>
      </c>
      <c r="J46" s="25">
        <v>6.47</v>
      </c>
    </row>
    <row r="47" spans="8:10" x14ac:dyDescent="0.35">
      <c r="H47" s="25" t="s">
        <v>112</v>
      </c>
      <c r="I47" s="25">
        <v>70</v>
      </c>
      <c r="J47" s="25">
        <v>7.43</v>
      </c>
    </row>
    <row r="48" spans="8:10" x14ac:dyDescent="0.35">
      <c r="H48" s="25" t="s">
        <v>114</v>
      </c>
      <c r="I48" s="25">
        <v>99</v>
      </c>
      <c r="J48" s="25">
        <v>7.1</v>
      </c>
    </row>
    <row r="49" spans="8:10" x14ac:dyDescent="0.35">
      <c r="H49" s="25" t="s">
        <v>116</v>
      </c>
      <c r="I49" s="25">
        <v>78</v>
      </c>
      <c r="J49" s="25">
        <v>7.47</v>
      </c>
    </row>
    <row r="50" spans="8:10" x14ac:dyDescent="0.35">
      <c r="H50" s="25" t="s">
        <v>118</v>
      </c>
      <c r="I50" s="25">
        <v>62</v>
      </c>
      <c r="J50" s="25">
        <v>7.5</v>
      </c>
    </row>
    <row r="51" spans="8:10" x14ac:dyDescent="0.35">
      <c r="H51" s="25" t="s">
        <v>120</v>
      </c>
      <c r="I51" s="25">
        <v>69</v>
      </c>
      <c r="J51" s="25">
        <v>8.67</v>
      </c>
    </row>
    <row r="52" spans="8:10" x14ac:dyDescent="0.35">
      <c r="H52" s="25" t="s">
        <v>122</v>
      </c>
      <c r="I52" s="25">
        <v>86</v>
      </c>
      <c r="J52" s="25">
        <v>6.17</v>
      </c>
    </row>
    <row r="53" spans="8:10" x14ac:dyDescent="0.35">
      <c r="H53" s="25" t="s">
        <v>124</v>
      </c>
      <c r="I53" s="25">
        <v>81</v>
      </c>
      <c r="J53" s="25">
        <v>6.43</v>
      </c>
    </row>
    <row r="54" spans="8:10" x14ac:dyDescent="0.35">
      <c r="H54" s="25" t="s">
        <v>126</v>
      </c>
      <c r="I54" s="25">
        <v>79</v>
      </c>
      <c r="J54" s="25">
        <v>8.77</v>
      </c>
    </row>
    <row r="55" spans="8:10" x14ac:dyDescent="0.35">
      <c r="H55" s="25" t="s">
        <v>128</v>
      </c>
      <c r="I55" s="25">
        <v>72</v>
      </c>
      <c r="J55" s="25">
        <v>6.6</v>
      </c>
    </row>
    <row r="56" spans="8:10" x14ac:dyDescent="0.35">
      <c r="H56" s="25" t="s">
        <v>130</v>
      </c>
      <c r="I56" s="25">
        <v>66</v>
      </c>
      <c r="J56" s="25">
        <v>7.7</v>
      </c>
    </row>
    <row r="57" spans="8:10" x14ac:dyDescent="0.35">
      <c r="H57" s="25" t="s">
        <v>132</v>
      </c>
      <c r="I57" s="25">
        <v>70</v>
      </c>
      <c r="J57" s="25">
        <v>6.4</v>
      </c>
    </row>
    <row r="58" spans="8:10" x14ac:dyDescent="0.35">
      <c r="H58" s="25" t="s">
        <v>134</v>
      </c>
      <c r="I58" s="25">
        <v>100</v>
      </c>
      <c r="J58" s="25">
        <v>6.57</v>
      </c>
    </row>
    <row r="59" spans="8:10" x14ac:dyDescent="0.35">
      <c r="H59" s="25" t="s">
        <v>136</v>
      </c>
      <c r="I59" s="25">
        <v>73</v>
      </c>
      <c r="J59" s="25">
        <v>8.1</v>
      </c>
    </row>
    <row r="60" spans="8:10" x14ac:dyDescent="0.35">
      <c r="H60" s="25" t="s">
        <v>138</v>
      </c>
      <c r="I60" s="25">
        <v>97</v>
      </c>
      <c r="J60" s="25">
        <v>7.9</v>
      </c>
    </row>
    <row r="61" spans="8:10" x14ac:dyDescent="0.35">
      <c r="H61" s="25" t="s">
        <v>140</v>
      </c>
      <c r="I61" s="25">
        <v>81</v>
      </c>
      <c r="J61" s="25">
        <v>6.1</v>
      </c>
    </row>
    <row r="62" spans="8:10" x14ac:dyDescent="0.35">
      <c r="H62" s="25" t="s">
        <v>142</v>
      </c>
      <c r="I62" s="25">
        <v>75</v>
      </c>
      <c r="J62" s="25">
        <v>6.93</v>
      </c>
    </row>
    <row r="63" spans="8:10" x14ac:dyDescent="0.35">
      <c r="H63" s="25" t="s">
        <v>144</v>
      </c>
      <c r="I63" s="25">
        <v>97</v>
      </c>
      <c r="J63" s="25">
        <v>8.67</v>
      </c>
    </row>
    <row r="64" spans="8:10" x14ac:dyDescent="0.35">
      <c r="H64" s="25" t="s">
        <v>146</v>
      </c>
      <c r="I64" s="25">
        <v>60</v>
      </c>
      <c r="J64" s="25">
        <v>5.87</v>
      </c>
    </row>
    <row r="65" spans="8:10" x14ac:dyDescent="0.35">
      <c r="H65" s="25" t="s">
        <v>148</v>
      </c>
      <c r="I65" s="25">
        <v>95</v>
      </c>
      <c r="J65" s="25">
        <v>7.13</v>
      </c>
    </row>
    <row r="66" spans="8:10" x14ac:dyDescent="0.35">
      <c r="H66" s="25" t="s">
        <v>150</v>
      </c>
      <c r="I66" s="25">
        <v>65</v>
      </c>
      <c r="J66" s="25">
        <v>7.97</v>
      </c>
    </row>
    <row r="67" spans="8:10" x14ac:dyDescent="0.35">
      <c r="H67" s="25" t="s">
        <v>152</v>
      </c>
      <c r="I67" s="25">
        <v>71</v>
      </c>
      <c r="J67" s="25">
        <v>5.6</v>
      </c>
    </row>
    <row r="68" spans="8:10" x14ac:dyDescent="0.35">
      <c r="H68" s="25" t="s">
        <v>154</v>
      </c>
      <c r="I68" s="25">
        <v>62</v>
      </c>
      <c r="J68" s="25">
        <v>7.83</v>
      </c>
    </row>
    <row r="69" spans="8:10" x14ac:dyDescent="0.35">
      <c r="H69" s="25" t="s">
        <v>156</v>
      </c>
      <c r="I69" s="25">
        <v>88</v>
      </c>
      <c r="J69" s="25">
        <v>7.33</v>
      </c>
    </row>
    <row r="70" spans="8:10" x14ac:dyDescent="0.35">
      <c r="H70" s="25" t="s">
        <v>158</v>
      </c>
      <c r="I70" s="25">
        <v>90</v>
      </c>
      <c r="J70" s="25">
        <v>6.07</v>
      </c>
    </row>
    <row r="71" spans="8:10" x14ac:dyDescent="0.35">
      <c r="H71" s="25" t="s">
        <v>160</v>
      </c>
      <c r="I71" s="25">
        <v>100</v>
      </c>
      <c r="J71" s="25">
        <v>8.1</v>
      </c>
    </row>
    <row r="72" spans="8:10" x14ac:dyDescent="0.35">
      <c r="H72" s="25" t="s">
        <v>162</v>
      </c>
      <c r="I72" s="25">
        <v>69</v>
      </c>
      <c r="J72" s="25">
        <v>8.3699999999999992</v>
      </c>
    </row>
    <row r="73" spans="8:10" x14ac:dyDescent="0.35">
      <c r="H73" s="25" t="s">
        <v>164</v>
      </c>
      <c r="I73" s="25">
        <v>79</v>
      </c>
      <c r="J73" s="25">
        <v>7.83</v>
      </c>
    </row>
    <row r="74" spans="8:10" x14ac:dyDescent="0.35">
      <c r="H74" s="25" t="s">
        <v>166</v>
      </c>
      <c r="I74" s="25">
        <v>92</v>
      </c>
      <c r="J74" s="25">
        <v>7.3</v>
      </c>
    </row>
    <row r="75" spans="8:10" x14ac:dyDescent="0.35">
      <c r="H75" s="25" t="s">
        <v>168</v>
      </c>
      <c r="I75" s="25">
        <v>61</v>
      </c>
      <c r="J75" s="25">
        <v>7.03</v>
      </c>
    </row>
    <row r="76" spans="8:10" x14ac:dyDescent="0.35">
      <c r="H76" s="25" t="s">
        <v>170</v>
      </c>
      <c r="I76" s="25">
        <v>80</v>
      </c>
      <c r="J76" s="25">
        <v>7.5</v>
      </c>
    </row>
    <row r="77" spans="8:10" x14ac:dyDescent="0.35">
      <c r="H77" s="25" t="s">
        <v>172</v>
      </c>
      <c r="I77" s="25">
        <v>89</v>
      </c>
      <c r="J77" s="25">
        <v>7.47</v>
      </c>
    </row>
    <row r="78" spans="8:10" x14ac:dyDescent="0.35">
      <c r="H78" s="25" t="s">
        <v>174</v>
      </c>
      <c r="I78" s="25">
        <v>86</v>
      </c>
      <c r="J78" s="25">
        <v>9.3000000000000007</v>
      </c>
    </row>
    <row r="79" spans="8:10" x14ac:dyDescent="0.35">
      <c r="H79" s="25" t="s">
        <v>176</v>
      </c>
      <c r="I79" s="25">
        <v>72</v>
      </c>
      <c r="J79" s="25">
        <v>6.67</v>
      </c>
    </row>
    <row r="80" spans="8:10" x14ac:dyDescent="0.35">
      <c r="H80" s="25" t="s">
        <v>178</v>
      </c>
      <c r="I80" s="25">
        <v>65</v>
      </c>
      <c r="J80" s="25">
        <v>6.27</v>
      </c>
    </row>
    <row r="81" spans="8:10" x14ac:dyDescent="0.35">
      <c r="H81" s="25" t="s">
        <v>180</v>
      </c>
      <c r="I81" s="25">
        <v>64</v>
      </c>
      <c r="J81" s="25">
        <v>6.33</v>
      </c>
    </row>
    <row r="82" spans="8:10" x14ac:dyDescent="0.35">
      <c r="H82" s="25" t="s">
        <v>182</v>
      </c>
      <c r="I82" s="25">
        <v>91</v>
      </c>
      <c r="J82" s="25">
        <v>8.73</v>
      </c>
    </row>
    <row r="83" spans="8:10" x14ac:dyDescent="0.35">
      <c r="H83" s="25" t="s">
        <v>184</v>
      </c>
      <c r="I83" s="25">
        <v>96</v>
      </c>
      <c r="J83" s="25">
        <v>5.5</v>
      </c>
    </row>
    <row r="84" spans="8:10" x14ac:dyDescent="0.35">
      <c r="H84" s="25" t="s">
        <v>186</v>
      </c>
      <c r="I84" s="25">
        <v>79</v>
      </c>
      <c r="J84" s="25">
        <v>6.07</v>
      </c>
    </row>
    <row r="85" spans="8:10" x14ac:dyDescent="0.35">
      <c r="H85" s="25" t="s">
        <v>188</v>
      </c>
      <c r="I85" s="25">
        <v>84</v>
      </c>
      <c r="J85" s="25">
        <v>6.1</v>
      </c>
    </row>
    <row r="86" spans="8:10" x14ac:dyDescent="0.35">
      <c r="H86" s="25" t="s">
        <v>190</v>
      </c>
      <c r="I86" s="25">
        <v>81</v>
      </c>
      <c r="J86" s="25">
        <v>6.97</v>
      </c>
    </row>
    <row r="87" spans="8:10" x14ac:dyDescent="0.35">
      <c r="H87" s="25" t="s">
        <v>192</v>
      </c>
      <c r="I87" s="25">
        <v>98</v>
      </c>
      <c r="J87" s="25">
        <v>6.23</v>
      </c>
    </row>
    <row r="88" spans="8:10" x14ac:dyDescent="0.35">
      <c r="H88" s="25" t="s">
        <v>194</v>
      </c>
      <c r="I88" s="25">
        <v>75</v>
      </c>
      <c r="J88" s="25">
        <v>7.17</v>
      </c>
    </row>
    <row r="89" spans="8:10" x14ac:dyDescent="0.35">
      <c r="H89" s="25" t="s">
        <v>196</v>
      </c>
      <c r="I89" s="25">
        <v>74</v>
      </c>
      <c r="J89" s="25">
        <v>7.47</v>
      </c>
    </row>
    <row r="90" spans="8:10" x14ac:dyDescent="0.35">
      <c r="H90" s="25" t="s">
        <v>198</v>
      </c>
      <c r="I90" s="25">
        <v>70</v>
      </c>
      <c r="J90" s="25">
        <v>7.27</v>
      </c>
    </row>
    <row r="91" spans="8:10" x14ac:dyDescent="0.35">
      <c r="H91" s="25" t="s">
        <v>200</v>
      </c>
      <c r="I91" s="25">
        <v>81</v>
      </c>
      <c r="J91" s="25">
        <v>9.1</v>
      </c>
    </row>
    <row r="92" spans="8:10" x14ac:dyDescent="0.35">
      <c r="H92" s="25" t="s">
        <v>202</v>
      </c>
      <c r="I92" s="25">
        <v>69</v>
      </c>
      <c r="J92" s="25">
        <v>5.27</v>
      </c>
    </row>
    <row r="93" spans="8:10" x14ac:dyDescent="0.35">
      <c r="H93" s="25" t="s">
        <v>204</v>
      </c>
      <c r="I93" s="25">
        <v>65</v>
      </c>
      <c r="J93" s="25">
        <v>9.1</v>
      </c>
    </row>
    <row r="94" spans="8:10" x14ac:dyDescent="0.35">
      <c r="H94" s="25" t="s">
        <v>206</v>
      </c>
      <c r="I94" s="25">
        <v>82</v>
      </c>
      <c r="J94" s="25">
        <v>5.53</v>
      </c>
    </row>
    <row r="95" spans="8:10" x14ac:dyDescent="0.35">
      <c r="H95" s="25" t="s">
        <v>208</v>
      </c>
      <c r="I95" s="25">
        <v>71</v>
      </c>
      <c r="J95" s="25">
        <v>5.8</v>
      </c>
    </row>
    <row r="96" spans="8:10" x14ac:dyDescent="0.35">
      <c r="H96" s="25" t="s">
        <v>210</v>
      </c>
      <c r="I96" s="25">
        <v>64</v>
      </c>
      <c r="J96" s="25">
        <v>7.03</v>
      </c>
    </row>
    <row r="97" spans="8:10" x14ac:dyDescent="0.35">
      <c r="H97" s="25" t="s">
        <v>212</v>
      </c>
      <c r="I97" s="25">
        <v>78</v>
      </c>
      <c r="J97" s="25">
        <v>6.1</v>
      </c>
    </row>
    <row r="98" spans="8:10" x14ac:dyDescent="0.35">
      <c r="H98" s="25" t="s">
        <v>214</v>
      </c>
      <c r="I98" s="25">
        <v>89</v>
      </c>
      <c r="J98" s="25">
        <v>6.43</v>
      </c>
    </row>
    <row r="99" spans="8:10" x14ac:dyDescent="0.35">
      <c r="H99" s="25" t="s">
        <v>216</v>
      </c>
      <c r="I99" s="25">
        <v>77</v>
      </c>
      <c r="J99" s="25">
        <v>7.07</v>
      </c>
    </row>
    <row r="100" spans="8:10" x14ac:dyDescent="0.35">
      <c r="H100" s="25" t="s">
        <v>218</v>
      </c>
      <c r="I100" s="25">
        <v>75</v>
      </c>
      <c r="J100" s="25">
        <v>6.63</v>
      </c>
    </row>
    <row r="101" spans="8:10" x14ac:dyDescent="0.35">
      <c r="H101" s="25" t="s">
        <v>220</v>
      </c>
      <c r="I101" s="25">
        <v>75</v>
      </c>
      <c r="J101" s="25">
        <v>8.73</v>
      </c>
    </row>
    <row r="102" spans="8:10" x14ac:dyDescent="0.35">
      <c r="H102" s="25" t="s">
        <v>222</v>
      </c>
      <c r="I102" s="25">
        <v>63</v>
      </c>
      <c r="J102" s="25">
        <v>6.93</v>
      </c>
    </row>
    <row r="103" spans="8:10" x14ac:dyDescent="0.35">
      <c r="H103" s="25" t="s">
        <v>224</v>
      </c>
      <c r="I103" s="25">
        <v>99</v>
      </c>
      <c r="J103" s="25">
        <v>7.67</v>
      </c>
    </row>
    <row r="104" spans="8:10" x14ac:dyDescent="0.35">
      <c r="H104" s="25" t="s">
        <v>226</v>
      </c>
      <c r="I104" s="25">
        <v>80</v>
      </c>
      <c r="J104" s="25">
        <v>8.9700000000000006</v>
      </c>
    </row>
    <row r="105" spans="8:10" x14ac:dyDescent="0.35">
      <c r="H105" s="25" t="s">
        <v>228</v>
      </c>
      <c r="I105" s="25">
        <v>78</v>
      </c>
      <c r="J105" s="25">
        <v>6.77</v>
      </c>
    </row>
    <row r="106" spans="8:10" x14ac:dyDescent="0.35">
      <c r="H106" s="25" t="s">
        <v>230</v>
      </c>
      <c r="I106" s="25">
        <v>76</v>
      </c>
      <c r="J106" s="25">
        <v>7.9</v>
      </c>
    </row>
    <row r="107" spans="8:10" x14ac:dyDescent="0.35">
      <c r="H107" s="25" t="s">
        <v>232</v>
      </c>
      <c r="I107" s="25">
        <v>99</v>
      </c>
      <c r="J107" s="25">
        <v>7.3</v>
      </c>
    </row>
    <row r="108" spans="8:10" x14ac:dyDescent="0.35">
      <c r="H108" s="25" t="s">
        <v>234</v>
      </c>
      <c r="I108" s="25">
        <v>78</v>
      </c>
      <c r="J108" s="25">
        <v>8.6999999999999993</v>
      </c>
    </row>
    <row r="109" spans="8:10" x14ac:dyDescent="0.35">
      <c r="H109" s="25" t="s">
        <v>236</v>
      </c>
      <c r="I109" s="25">
        <v>91</v>
      </c>
      <c r="J109" s="25">
        <v>6.5</v>
      </c>
    </row>
    <row r="110" spans="8:10" x14ac:dyDescent="0.35">
      <c r="H110" s="25" t="s">
        <v>238</v>
      </c>
      <c r="I110" s="25">
        <v>100</v>
      </c>
      <c r="J110" s="25">
        <v>6.8</v>
      </c>
    </row>
    <row r="111" spans="8:10" x14ac:dyDescent="0.35">
      <c r="H111" s="25" t="s">
        <v>240</v>
      </c>
      <c r="I111" s="25">
        <v>65</v>
      </c>
      <c r="J111" s="25">
        <v>5.83</v>
      </c>
    </row>
    <row r="112" spans="8:10" x14ac:dyDescent="0.35">
      <c r="H112" s="25" t="s">
        <v>242</v>
      </c>
      <c r="I112" s="25">
        <v>69</v>
      </c>
      <c r="J112" s="25">
        <v>7.6</v>
      </c>
    </row>
    <row r="113" spans="8:10" x14ac:dyDescent="0.35">
      <c r="H113" s="25" t="s">
        <v>244</v>
      </c>
      <c r="I113" s="25">
        <v>83</v>
      </c>
      <c r="J113" s="25">
        <v>6.73</v>
      </c>
    </row>
    <row r="114" spans="8:10" x14ac:dyDescent="0.35">
      <c r="H114" s="25" t="s">
        <v>246</v>
      </c>
      <c r="I114" s="25">
        <v>93</v>
      </c>
      <c r="J114" s="25">
        <v>8</v>
      </c>
    </row>
    <row r="115" spans="8:10" x14ac:dyDescent="0.35">
      <c r="H115" s="25" t="s">
        <v>248</v>
      </c>
      <c r="I115" s="25">
        <v>97</v>
      </c>
      <c r="J115" s="25">
        <v>7.8</v>
      </c>
    </row>
    <row r="116" spans="8:10" x14ac:dyDescent="0.35">
      <c r="H116" s="25" t="s">
        <v>250</v>
      </c>
      <c r="I116" s="25">
        <v>68</v>
      </c>
      <c r="J116" s="25">
        <v>8.73</v>
      </c>
    </row>
    <row r="117" spans="8:10" x14ac:dyDescent="0.35">
      <c r="H117" s="25" t="s">
        <v>252</v>
      </c>
      <c r="I117" s="25">
        <v>78</v>
      </c>
      <c r="J117" s="25">
        <v>6.2</v>
      </c>
    </row>
    <row r="118" spans="8:10" x14ac:dyDescent="0.35">
      <c r="H118" s="25" t="s">
        <v>254</v>
      </c>
      <c r="I118" s="25">
        <v>79</v>
      </c>
      <c r="J118" s="25">
        <v>7.87</v>
      </c>
    </row>
    <row r="119" spans="8:10" x14ac:dyDescent="0.35">
      <c r="H119" s="25" t="s">
        <v>256</v>
      </c>
      <c r="I119" s="25">
        <v>86</v>
      </c>
      <c r="J119" s="25">
        <v>7.4</v>
      </c>
    </row>
    <row r="120" spans="8:10" x14ac:dyDescent="0.35">
      <c r="H120" s="25" t="s">
        <v>258</v>
      </c>
      <c r="I120" s="25">
        <v>60</v>
      </c>
      <c r="J120" s="25">
        <v>7.33</v>
      </c>
    </row>
    <row r="121" spans="8:10" x14ac:dyDescent="0.35">
      <c r="H121" s="25" t="s">
        <v>260</v>
      </c>
      <c r="I121" s="25">
        <v>94</v>
      </c>
      <c r="J121" s="25">
        <v>6.53</v>
      </c>
    </row>
    <row r="122" spans="8:10" x14ac:dyDescent="0.35">
      <c r="H122" s="25" t="s">
        <v>262</v>
      </c>
      <c r="I122" s="25">
        <v>76</v>
      </c>
      <c r="J122" s="25">
        <v>5.37</v>
      </c>
    </row>
    <row r="123" spans="8:10" x14ac:dyDescent="0.35">
      <c r="H123" s="25" t="s">
        <v>264</v>
      </c>
      <c r="I123" s="25">
        <v>89</v>
      </c>
      <c r="J123" s="25">
        <v>6.7</v>
      </c>
    </row>
    <row r="124" spans="8:10" x14ac:dyDescent="0.35">
      <c r="H124" s="25" t="s">
        <v>266</v>
      </c>
      <c r="I124" s="25">
        <v>81</v>
      </c>
      <c r="J124" s="25">
        <v>5.97</v>
      </c>
    </row>
    <row r="125" spans="8:10" x14ac:dyDescent="0.35">
      <c r="H125" s="25" t="s">
        <v>268</v>
      </c>
      <c r="I125" s="25">
        <v>92</v>
      </c>
      <c r="J125" s="25">
        <v>6.9</v>
      </c>
    </row>
    <row r="126" spans="8:10" x14ac:dyDescent="0.35">
      <c r="H126" s="25" t="s">
        <v>270</v>
      </c>
      <c r="I126" s="25">
        <v>65</v>
      </c>
      <c r="J126" s="25">
        <v>7.57</v>
      </c>
    </row>
    <row r="127" spans="8:10" x14ac:dyDescent="0.35">
      <c r="H127" s="25" t="s">
        <v>272</v>
      </c>
      <c r="I127" s="25">
        <v>90</v>
      </c>
      <c r="J127" s="25">
        <v>7.03</v>
      </c>
    </row>
    <row r="128" spans="8:10" x14ac:dyDescent="0.35">
      <c r="H128" s="25" t="s">
        <v>274</v>
      </c>
      <c r="I128" s="25">
        <v>84</v>
      </c>
      <c r="J128" s="25">
        <v>5.83</v>
      </c>
    </row>
    <row r="129" spans="8:10" x14ac:dyDescent="0.35">
      <c r="H129" s="25" t="s">
        <v>276</v>
      </c>
      <c r="I129" s="25">
        <v>87</v>
      </c>
      <c r="J129" s="25">
        <v>7.23</v>
      </c>
    </row>
    <row r="130" spans="8:10" x14ac:dyDescent="0.35">
      <c r="H130" s="25" t="s">
        <v>278</v>
      </c>
      <c r="I130" s="25">
        <v>79</v>
      </c>
      <c r="J130" s="25">
        <v>7.83</v>
      </c>
    </row>
    <row r="131" spans="8:10" x14ac:dyDescent="0.35">
      <c r="H131" s="25" t="s">
        <v>280</v>
      </c>
      <c r="I131" s="25">
        <v>85</v>
      </c>
      <c r="J131" s="25">
        <v>6.33</v>
      </c>
    </row>
    <row r="132" spans="8:10" x14ac:dyDescent="0.35">
      <c r="H132" s="25" t="s">
        <v>282</v>
      </c>
      <c r="I132" s="25">
        <v>74</v>
      </c>
      <c r="J132" s="25">
        <v>6.93</v>
      </c>
    </row>
    <row r="133" spans="8:10" x14ac:dyDescent="0.35">
      <c r="H133" s="25" t="s">
        <v>284</v>
      </c>
      <c r="I133" s="25">
        <v>88</v>
      </c>
      <c r="J133" s="25">
        <v>7.33</v>
      </c>
    </row>
    <row r="134" spans="8:10" x14ac:dyDescent="0.35">
      <c r="H134" s="25" t="s">
        <v>286</v>
      </c>
      <c r="I134" s="25">
        <v>89</v>
      </c>
      <c r="J134" s="25">
        <v>8.4</v>
      </c>
    </row>
    <row r="135" spans="8:10" x14ac:dyDescent="0.35">
      <c r="H135" s="25" t="s">
        <v>288</v>
      </c>
      <c r="I135" s="25">
        <v>60</v>
      </c>
      <c r="J135" s="25">
        <v>6.4</v>
      </c>
    </row>
    <row r="136" spans="8:10" x14ac:dyDescent="0.35">
      <c r="H136" s="25" t="s">
        <v>290</v>
      </c>
      <c r="I136" s="25">
        <v>65</v>
      </c>
      <c r="J136" s="25">
        <v>8.1999999999999993</v>
      </c>
    </row>
    <row r="137" spans="8:10" x14ac:dyDescent="0.35">
      <c r="H137" s="25" t="s">
        <v>292</v>
      </c>
      <c r="I137" s="25">
        <v>86</v>
      </c>
      <c r="J137" s="25">
        <v>6.17</v>
      </c>
    </row>
    <row r="138" spans="8:10" x14ac:dyDescent="0.35">
      <c r="H138" s="25" t="s">
        <v>294</v>
      </c>
      <c r="I138" s="25">
        <v>80</v>
      </c>
      <c r="J138" s="25">
        <v>6.73</v>
      </c>
    </row>
    <row r="139" spans="8:10" x14ac:dyDescent="0.35">
      <c r="H139" s="25" t="s">
        <v>296</v>
      </c>
      <c r="I139" s="25">
        <v>60</v>
      </c>
      <c r="J139" s="25">
        <v>8</v>
      </c>
    </row>
    <row r="140" spans="8:10" x14ac:dyDescent="0.35">
      <c r="H140" s="25" t="s">
        <v>298</v>
      </c>
      <c r="I140" s="25">
        <v>61</v>
      </c>
      <c r="J140" s="25">
        <v>6.57</v>
      </c>
    </row>
    <row r="141" spans="8:10" x14ac:dyDescent="0.35">
      <c r="H141" s="25" t="s">
        <v>300</v>
      </c>
      <c r="I141" s="25">
        <v>98</v>
      </c>
      <c r="J141" s="25">
        <v>9.17</v>
      </c>
    </row>
    <row r="142" spans="8:10" x14ac:dyDescent="0.35">
      <c r="H142" s="25" t="s">
        <v>302</v>
      </c>
      <c r="I142" s="25">
        <v>91</v>
      </c>
      <c r="J142" s="25">
        <v>7.33</v>
      </c>
    </row>
    <row r="143" spans="8:10" x14ac:dyDescent="0.35">
      <c r="H143" s="25" t="s">
        <v>304</v>
      </c>
      <c r="I143" s="25">
        <v>66</v>
      </c>
      <c r="J143" s="25">
        <v>7.47</v>
      </c>
    </row>
    <row r="144" spans="8:10" x14ac:dyDescent="0.35">
      <c r="H144" s="25" t="s">
        <v>306</v>
      </c>
      <c r="I144" s="25">
        <v>69</v>
      </c>
      <c r="J144" s="25">
        <v>7.97</v>
      </c>
    </row>
    <row r="145" spans="8:10" x14ac:dyDescent="0.35">
      <c r="H145" s="25" t="s">
        <v>308</v>
      </c>
      <c r="I145" s="25">
        <v>91</v>
      </c>
      <c r="J145" s="25">
        <v>7.03</v>
      </c>
    </row>
    <row r="146" spans="8:10" x14ac:dyDescent="0.35">
      <c r="H146" s="25" t="s">
        <v>310</v>
      </c>
      <c r="I146" s="25">
        <v>86</v>
      </c>
      <c r="J146" s="25">
        <v>6.9</v>
      </c>
    </row>
    <row r="147" spans="8:10" x14ac:dyDescent="0.35">
      <c r="H147" s="25" t="s">
        <v>312</v>
      </c>
      <c r="I147" s="25">
        <v>62</v>
      </c>
      <c r="J147" s="25">
        <v>6.4</v>
      </c>
    </row>
    <row r="148" spans="8:10" x14ac:dyDescent="0.35">
      <c r="H148" s="25" t="s">
        <v>314</v>
      </c>
      <c r="I148" s="25">
        <v>91</v>
      </c>
      <c r="J148" s="25">
        <v>7.23</v>
      </c>
    </row>
    <row r="149" spans="8:10" x14ac:dyDescent="0.35">
      <c r="H149" s="25" t="s">
        <v>316</v>
      </c>
      <c r="I149" s="25">
        <v>72</v>
      </c>
      <c r="J149" s="25">
        <v>7.57</v>
      </c>
    </row>
    <row r="150" spans="8:10" x14ac:dyDescent="0.35">
      <c r="H150" s="25" t="s">
        <v>318</v>
      </c>
      <c r="I150" s="25">
        <v>90</v>
      </c>
      <c r="J150" s="25">
        <v>7.8</v>
      </c>
    </row>
    <row r="151" spans="8:10" x14ac:dyDescent="0.35">
      <c r="H151" s="25" t="s">
        <v>320</v>
      </c>
      <c r="I151" s="25">
        <v>84</v>
      </c>
      <c r="J151" s="25">
        <v>5.97</v>
      </c>
    </row>
    <row r="152" spans="8:10" x14ac:dyDescent="0.35">
      <c r="H152" s="25" t="s">
        <v>322</v>
      </c>
      <c r="I152" s="25">
        <v>68</v>
      </c>
      <c r="J152" s="25">
        <v>7.5</v>
      </c>
    </row>
    <row r="153" spans="8:10" x14ac:dyDescent="0.35">
      <c r="H153" s="25" t="s">
        <v>324</v>
      </c>
      <c r="I153" s="25">
        <v>87</v>
      </c>
      <c r="J153" s="25">
        <v>5.97</v>
      </c>
    </row>
    <row r="154" spans="8:10" x14ac:dyDescent="0.35">
      <c r="H154" s="25" t="s">
        <v>326</v>
      </c>
      <c r="I154" s="25">
        <v>92</v>
      </c>
      <c r="J154" s="25">
        <v>5.77</v>
      </c>
    </row>
    <row r="155" spans="8:10" x14ac:dyDescent="0.35">
      <c r="H155" s="25" t="s">
        <v>328</v>
      </c>
      <c r="I155" s="25">
        <v>94</v>
      </c>
      <c r="J155" s="25">
        <v>8.77</v>
      </c>
    </row>
    <row r="156" spans="8:10" x14ac:dyDescent="0.35">
      <c r="H156" s="25" t="s">
        <v>330</v>
      </c>
      <c r="I156" s="25">
        <v>99</v>
      </c>
      <c r="J156" s="25">
        <v>5.27</v>
      </c>
    </row>
    <row r="157" spans="8:10" x14ac:dyDescent="0.35">
      <c r="H157" s="25" t="s">
        <v>332</v>
      </c>
      <c r="I157" s="25">
        <v>78</v>
      </c>
      <c r="J157" s="25">
        <v>7.23</v>
      </c>
    </row>
    <row r="158" spans="8:10" x14ac:dyDescent="0.35">
      <c r="H158" s="25" t="s">
        <v>334</v>
      </c>
      <c r="I158" s="25">
        <v>93</v>
      </c>
      <c r="J158" s="25">
        <v>7.8</v>
      </c>
    </row>
    <row r="159" spans="8:10" x14ac:dyDescent="0.35">
      <c r="H159" s="25" t="s">
        <v>336</v>
      </c>
      <c r="I159" s="25">
        <v>98</v>
      </c>
      <c r="J159" s="25">
        <v>7.63</v>
      </c>
    </row>
    <row r="160" spans="8:10" x14ac:dyDescent="0.35">
      <c r="H160" s="25" t="s">
        <v>338</v>
      </c>
      <c r="I160" s="25">
        <v>67</v>
      </c>
      <c r="J160" s="25">
        <v>8.0299999999999994</v>
      </c>
    </row>
    <row r="161" spans="8:10" x14ac:dyDescent="0.35">
      <c r="H161" s="25" t="s">
        <v>340</v>
      </c>
      <c r="I161" s="25">
        <v>76</v>
      </c>
      <c r="J161" s="25">
        <v>7.23</v>
      </c>
    </row>
    <row r="162" spans="8:10" x14ac:dyDescent="0.35">
      <c r="H162" s="25" t="s">
        <v>342</v>
      </c>
      <c r="I162" s="25">
        <v>73</v>
      </c>
      <c r="J162" s="25">
        <v>8.5299999999999994</v>
      </c>
    </row>
    <row r="163" spans="8:10" x14ac:dyDescent="0.35">
      <c r="H163" s="25" t="s">
        <v>344</v>
      </c>
      <c r="I163" s="25">
        <v>80</v>
      </c>
      <c r="J163" s="25">
        <v>7.7</v>
      </c>
    </row>
    <row r="164" spans="8:10" x14ac:dyDescent="0.35">
      <c r="H164" s="25" t="s">
        <v>346</v>
      </c>
      <c r="I164" s="25">
        <v>75</v>
      </c>
      <c r="J164" s="25">
        <v>8.8000000000000007</v>
      </c>
    </row>
    <row r="165" spans="8:10" x14ac:dyDescent="0.35">
      <c r="H165" s="25" t="s">
        <v>348</v>
      </c>
      <c r="I165" s="25">
        <v>85</v>
      </c>
      <c r="J165" s="25">
        <v>6.83</v>
      </c>
    </row>
    <row r="166" spans="8:10" x14ac:dyDescent="0.35">
      <c r="H166" s="25" t="s">
        <v>350</v>
      </c>
      <c r="I166" s="25">
        <v>76</v>
      </c>
      <c r="J166" s="25">
        <v>7.87</v>
      </c>
    </row>
    <row r="167" spans="8:10" x14ac:dyDescent="0.35">
      <c r="H167" s="25" t="s">
        <v>352</v>
      </c>
      <c r="I167" s="25">
        <v>95</v>
      </c>
      <c r="J167" s="25">
        <v>7.33</v>
      </c>
    </row>
    <row r="168" spans="8:10" x14ac:dyDescent="0.35">
      <c r="H168" s="25" t="s">
        <v>354</v>
      </c>
      <c r="I168" s="25">
        <v>94</v>
      </c>
      <c r="J168" s="25">
        <v>5.97</v>
      </c>
    </row>
    <row r="169" spans="8:10" x14ac:dyDescent="0.35">
      <c r="H169" s="25" t="s">
        <v>356</v>
      </c>
      <c r="I169" s="25">
        <v>100</v>
      </c>
      <c r="J169" s="25">
        <v>7.33</v>
      </c>
    </row>
    <row r="170" spans="8:10" x14ac:dyDescent="0.35">
      <c r="H170" s="25" t="s">
        <v>358</v>
      </c>
      <c r="I170" s="25">
        <v>77</v>
      </c>
      <c r="J170" s="25">
        <v>7.17</v>
      </c>
    </row>
    <row r="171" spans="8:10" x14ac:dyDescent="0.35">
      <c r="H171" s="25" t="s">
        <v>360</v>
      </c>
      <c r="I171" s="25">
        <v>97</v>
      </c>
      <c r="J171" s="25">
        <v>6.03</v>
      </c>
    </row>
    <row r="172" spans="8:10" x14ac:dyDescent="0.35">
      <c r="H172" s="25" t="s">
        <v>362</v>
      </c>
      <c r="I172" s="25">
        <v>75</v>
      </c>
      <c r="J172" s="25">
        <v>6.63</v>
      </c>
    </row>
    <row r="173" spans="8:10" x14ac:dyDescent="0.35">
      <c r="H173" s="25" t="s">
        <v>364</v>
      </c>
      <c r="I173" s="25">
        <v>72</v>
      </c>
      <c r="J173" s="25">
        <v>7.73</v>
      </c>
    </row>
    <row r="174" spans="8:10" x14ac:dyDescent="0.35">
      <c r="H174" s="25" t="s">
        <v>366</v>
      </c>
      <c r="I174" s="25">
        <v>83</v>
      </c>
      <c r="J174" s="25">
        <v>8.6999999999999993</v>
      </c>
    </row>
    <row r="175" spans="8:10" x14ac:dyDescent="0.35">
      <c r="H175" s="25" t="s">
        <v>368</v>
      </c>
      <c r="I175" s="25">
        <v>98</v>
      </c>
      <c r="J175" s="25">
        <v>5.93</v>
      </c>
    </row>
    <row r="176" spans="8:10" x14ac:dyDescent="0.35">
      <c r="H176" s="25" t="s">
        <v>370</v>
      </c>
      <c r="I176" s="25">
        <v>67</v>
      </c>
      <c r="J176" s="25">
        <v>7.47</v>
      </c>
    </row>
    <row r="177" spans="8:10" x14ac:dyDescent="0.35">
      <c r="H177" s="25" t="s">
        <v>372</v>
      </c>
      <c r="I177" s="25">
        <v>77</v>
      </c>
      <c r="J177" s="25">
        <v>6.47</v>
      </c>
    </row>
    <row r="178" spans="8:10" x14ac:dyDescent="0.35">
      <c r="H178" s="25" t="s">
        <v>374</v>
      </c>
      <c r="I178" s="25">
        <v>80</v>
      </c>
      <c r="J178" s="25">
        <v>7.2</v>
      </c>
    </row>
    <row r="179" spans="8:10" x14ac:dyDescent="0.35">
      <c r="H179" s="25" t="s">
        <v>376</v>
      </c>
      <c r="I179" s="25">
        <v>60</v>
      </c>
      <c r="J179" s="25">
        <v>7.1</v>
      </c>
    </row>
    <row r="180" spans="8:10" x14ac:dyDescent="0.35">
      <c r="H180" s="25" t="s">
        <v>378</v>
      </c>
      <c r="I180" s="25">
        <v>61</v>
      </c>
      <c r="J180" s="25">
        <v>8.6300000000000008</v>
      </c>
    </row>
    <row r="181" spans="8:10" x14ac:dyDescent="0.35">
      <c r="H181" s="25" t="s">
        <v>380</v>
      </c>
      <c r="I181" s="25">
        <v>87</v>
      </c>
      <c r="J181" s="25">
        <v>5.6</v>
      </c>
    </row>
    <row r="182" spans="8:10" x14ac:dyDescent="0.35">
      <c r="H182" s="25" t="s">
        <v>382</v>
      </c>
      <c r="I182" s="25">
        <v>90</v>
      </c>
      <c r="J182" s="25">
        <v>5.8</v>
      </c>
    </row>
    <row r="183" spans="8:10" x14ac:dyDescent="0.35">
      <c r="H183" s="25" t="s">
        <v>384</v>
      </c>
      <c r="I183" s="25">
        <v>70</v>
      </c>
      <c r="J183" s="25">
        <v>5.6</v>
      </c>
    </row>
    <row r="184" spans="8:10" x14ac:dyDescent="0.35">
      <c r="H184" s="25" t="s">
        <v>386</v>
      </c>
      <c r="I184" s="25">
        <v>96</v>
      </c>
      <c r="J184" s="25">
        <v>5.7</v>
      </c>
    </row>
    <row r="185" spans="8:10" x14ac:dyDescent="0.35">
      <c r="H185" s="25" t="s">
        <v>388</v>
      </c>
      <c r="I185" s="25">
        <v>90</v>
      </c>
      <c r="J185" s="25">
        <v>7</v>
      </c>
    </row>
    <row r="186" spans="8:10" x14ac:dyDescent="0.35">
      <c r="H186" s="25" t="s">
        <v>390</v>
      </c>
      <c r="I186" s="25">
        <v>92</v>
      </c>
      <c r="J186" s="25">
        <v>7.97</v>
      </c>
    </row>
    <row r="187" spans="8:10" x14ac:dyDescent="0.35">
      <c r="H187" s="25" t="s">
        <v>392</v>
      </c>
      <c r="I187" s="25">
        <v>87</v>
      </c>
      <c r="J187" s="25">
        <v>6.47</v>
      </c>
    </row>
    <row r="188" spans="8:10" x14ac:dyDescent="0.35">
      <c r="H188" s="25" t="s">
        <v>394</v>
      </c>
      <c r="I188" s="25">
        <v>67</v>
      </c>
      <c r="J188" s="25">
        <v>6.57</v>
      </c>
    </row>
    <row r="189" spans="8:10" x14ac:dyDescent="0.35">
      <c r="H189" s="25" t="s">
        <v>396</v>
      </c>
      <c r="I189" s="25">
        <v>90</v>
      </c>
      <c r="J189" s="25">
        <v>6.4</v>
      </c>
    </row>
    <row r="190" spans="8:10" x14ac:dyDescent="0.35">
      <c r="H190" s="25" t="s">
        <v>398</v>
      </c>
      <c r="I190" s="25">
        <v>72</v>
      </c>
      <c r="J190" s="25">
        <v>6.13</v>
      </c>
    </row>
    <row r="191" spans="8:10" x14ac:dyDescent="0.35">
      <c r="H191" s="25" t="s">
        <v>400</v>
      </c>
      <c r="I191" s="25">
        <v>81</v>
      </c>
      <c r="J191" s="25">
        <v>6.5</v>
      </c>
    </row>
    <row r="192" spans="8:10" x14ac:dyDescent="0.35">
      <c r="H192" s="25" t="s">
        <v>402</v>
      </c>
      <c r="I192" s="25">
        <v>97</v>
      </c>
      <c r="J192" s="25">
        <v>7.17</v>
      </c>
    </row>
    <row r="193" spans="8:10" x14ac:dyDescent="0.35">
      <c r="H193" s="25" t="s">
        <v>404</v>
      </c>
      <c r="I193" s="25">
        <v>70</v>
      </c>
      <c r="J193" s="25">
        <v>9.0299999999999994</v>
      </c>
    </row>
    <row r="194" spans="8:10" x14ac:dyDescent="0.35">
      <c r="H194" s="25" t="s">
        <v>406</v>
      </c>
      <c r="I194" s="25">
        <v>92</v>
      </c>
      <c r="J194" s="25">
        <v>5.5</v>
      </c>
    </row>
    <row r="195" spans="8:10" x14ac:dyDescent="0.35">
      <c r="H195" s="25" t="s">
        <v>408</v>
      </c>
      <c r="I195" s="25">
        <v>84</v>
      </c>
      <c r="J195" s="25">
        <v>5.9</v>
      </c>
    </row>
    <row r="196" spans="8:10" x14ac:dyDescent="0.35">
      <c r="H196" s="25" t="s">
        <v>410</v>
      </c>
      <c r="I196" s="25">
        <v>66</v>
      </c>
      <c r="J196" s="25">
        <v>7.2</v>
      </c>
    </row>
    <row r="197" spans="8:10" x14ac:dyDescent="0.35">
      <c r="H197" s="25" t="s">
        <v>412</v>
      </c>
      <c r="I197" s="25">
        <v>86</v>
      </c>
      <c r="J197" s="25">
        <v>6.2</v>
      </c>
    </row>
    <row r="198" spans="8:10" x14ac:dyDescent="0.35">
      <c r="H198" s="25" t="s">
        <v>414</v>
      </c>
      <c r="I198" s="25">
        <v>65</v>
      </c>
      <c r="J198" s="25">
        <v>7.5</v>
      </c>
    </row>
    <row r="199" spans="8:10" x14ac:dyDescent="0.35">
      <c r="H199" s="25" t="s">
        <v>416</v>
      </c>
      <c r="I199" s="25">
        <v>94</v>
      </c>
      <c r="J199" s="25">
        <v>6.03</v>
      </c>
    </row>
    <row r="200" spans="8:10" x14ac:dyDescent="0.35">
      <c r="H200" s="25" t="s">
        <v>418</v>
      </c>
      <c r="I200" s="25">
        <v>79</v>
      </c>
      <c r="J200" s="25">
        <v>7.77</v>
      </c>
    </row>
    <row r="201" spans="8:10" x14ac:dyDescent="0.35">
      <c r="H201" s="25" t="s">
        <v>420</v>
      </c>
      <c r="I201" s="25">
        <v>82</v>
      </c>
      <c r="J201" s="25">
        <v>7.7</v>
      </c>
    </row>
  </sheetData>
  <mergeCells count="5">
    <mergeCell ref="A1:D1"/>
    <mergeCell ref="E1:G1"/>
    <mergeCell ref="A8:C8"/>
    <mergeCell ref="E12:G12"/>
    <mergeCell ref="A17:D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4A623"/>
  </sheetPr>
  <dimension ref="A1:AC43"/>
  <sheetViews>
    <sheetView showGridLines="0" zoomScale="47" zoomScaleNormal="47" workbookViewId="0">
      <selection activeCell="AJ11" sqref="AJ11"/>
    </sheetView>
  </sheetViews>
  <sheetFormatPr defaultColWidth="8.6328125" defaultRowHeight="14.5" x14ac:dyDescent="0.35"/>
  <cols>
    <col min="1" max="21" width="4.453125" customWidth="1"/>
    <col min="22" max="26" width="12" customWidth="1"/>
    <col min="27" max="31" width="4.453125" customWidth="1"/>
    <col min="36" max="36" width="8.26953125" customWidth="1"/>
  </cols>
  <sheetData>
    <row r="1" spans="1:29" ht="13.5" customHeight="1" x14ac:dyDescent="0.35">
      <c r="A1" s="30"/>
      <c r="B1" s="12" t="s">
        <v>442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30"/>
      <c r="AA1" s="30"/>
      <c r="AB1" s="30"/>
      <c r="AC1" s="30"/>
    </row>
    <row r="2" spans="1:29" ht="21.75" customHeight="1" x14ac:dyDescent="0.35">
      <c r="A2" s="30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30"/>
      <c r="AA2" s="30"/>
      <c r="AB2" s="30"/>
      <c r="AC2" s="30"/>
    </row>
    <row r="3" spans="1:29" ht="13.5" customHeight="1" x14ac:dyDescent="0.35">
      <c r="A3" s="30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30"/>
      <c r="AA3" s="30"/>
      <c r="AB3" s="30"/>
      <c r="AC3" s="30"/>
    </row>
    <row r="4" spans="1:29" ht="6" customHeight="1" x14ac:dyDescent="0.35"/>
    <row r="5" spans="1:29" ht="7.5" customHeight="1" x14ac:dyDescent="0.35">
      <c r="B5" s="11"/>
      <c r="C5" s="11"/>
      <c r="D5" s="11"/>
      <c r="E5" s="11"/>
      <c r="F5" s="11"/>
      <c r="H5" s="10"/>
      <c r="I5" s="10"/>
      <c r="J5" s="10"/>
      <c r="K5" s="10"/>
      <c r="L5" s="10"/>
      <c r="N5" s="9"/>
      <c r="O5" s="9"/>
      <c r="P5" s="9"/>
      <c r="Q5" s="9"/>
      <c r="R5" s="9"/>
      <c r="T5" s="8"/>
      <c r="U5" s="8"/>
      <c r="V5" s="8"/>
      <c r="W5" s="8"/>
      <c r="X5" s="8"/>
    </row>
    <row r="6" spans="1:29" ht="30" customHeight="1" x14ac:dyDescent="0.35">
      <c r="B6" s="7">
        <f>Summary!B2</f>
        <v>200</v>
      </c>
      <c r="C6" s="7"/>
      <c r="D6" s="7"/>
      <c r="E6" s="7"/>
      <c r="F6" s="7"/>
      <c r="H6" s="6">
        <f>Summary!B3</f>
        <v>7.1414500000000043</v>
      </c>
      <c r="I6" s="6"/>
      <c r="J6" s="6"/>
      <c r="K6" s="6"/>
      <c r="L6" s="6"/>
      <c r="N6" s="5">
        <f>Summary!B4</f>
        <v>80.364999999999995</v>
      </c>
      <c r="O6" s="5"/>
      <c r="P6" s="5"/>
      <c r="Q6" s="5"/>
      <c r="R6" s="5"/>
      <c r="T6" s="4">
        <f>Summary!B5</f>
        <v>100</v>
      </c>
      <c r="U6" s="4"/>
      <c r="V6" s="4"/>
      <c r="W6" s="4"/>
      <c r="X6" s="4"/>
    </row>
    <row r="7" spans="1:29" ht="9.75" customHeight="1" x14ac:dyDescent="0.35">
      <c r="B7" s="7"/>
      <c r="C7" s="7"/>
      <c r="D7" s="7"/>
      <c r="E7" s="7"/>
      <c r="F7" s="7"/>
      <c r="H7" s="6"/>
      <c r="I7" s="6"/>
      <c r="J7" s="6"/>
      <c r="K7" s="6"/>
      <c r="L7" s="6"/>
      <c r="N7" s="5"/>
      <c r="O7" s="5"/>
      <c r="P7" s="5"/>
      <c r="Q7" s="5"/>
      <c r="R7" s="5"/>
      <c r="T7" s="4"/>
      <c r="U7" s="4"/>
      <c r="V7" s="4"/>
      <c r="W7" s="4"/>
      <c r="X7" s="4"/>
    </row>
    <row r="8" spans="1:29" ht="18" customHeight="1" x14ac:dyDescent="0.35">
      <c r="B8" s="3" t="s">
        <v>443</v>
      </c>
      <c r="C8" s="3"/>
      <c r="D8" s="3"/>
      <c r="E8" s="3"/>
      <c r="F8" s="3"/>
      <c r="H8" s="2" t="s">
        <v>444</v>
      </c>
      <c r="I8" s="2"/>
      <c r="J8" s="2"/>
      <c r="K8" s="2"/>
      <c r="L8" s="2"/>
      <c r="N8" s="1" t="s">
        <v>445</v>
      </c>
      <c r="O8" s="1"/>
      <c r="P8" s="1"/>
      <c r="Q8" s="1"/>
      <c r="R8" s="1"/>
      <c r="T8" s="37" t="s">
        <v>446</v>
      </c>
      <c r="U8" s="37"/>
      <c r="V8" s="37"/>
      <c r="W8" s="37"/>
      <c r="X8" s="37"/>
    </row>
    <row r="9" spans="1:29" ht="7.5" customHeight="1" x14ac:dyDescent="0.35">
      <c r="B9" s="11"/>
      <c r="C9" s="11"/>
      <c r="D9" s="11"/>
      <c r="E9" s="11"/>
      <c r="F9" s="11"/>
      <c r="H9" s="10"/>
      <c r="I9" s="10"/>
      <c r="J9" s="10"/>
      <c r="K9" s="10"/>
      <c r="L9" s="10"/>
      <c r="N9" s="9"/>
      <c r="O9" s="9"/>
      <c r="P9" s="9"/>
      <c r="Q9" s="9"/>
      <c r="R9" s="9"/>
      <c r="T9" s="8"/>
      <c r="U9" s="8"/>
      <c r="V9" s="8"/>
      <c r="W9" s="8"/>
      <c r="X9" s="8"/>
    </row>
    <row r="10" spans="1:29" ht="7.5" customHeight="1" x14ac:dyDescent="0.35"/>
    <row r="30" spans="22:26" ht="7.5" customHeight="1" x14ac:dyDescent="0.35"/>
    <row r="31" spans="22:26" ht="7.5" customHeight="1" x14ac:dyDescent="0.35"/>
    <row r="32" spans="22:26" x14ac:dyDescent="0.35">
      <c r="V32" s="14" t="s">
        <v>447</v>
      </c>
      <c r="W32" s="14"/>
      <c r="X32" s="14"/>
      <c r="Y32" s="14"/>
      <c r="Z32" s="14"/>
    </row>
    <row r="33" spans="22:26" x14ac:dyDescent="0.35">
      <c r="V33" s="22" t="s">
        <v>448</v>
      </c>
      <c r="W33" s="22" t="s">
        <v>449</v>
      </c>
      <c r="X33" s="22" t="s">
        <v>4</v>
      </c>
      <c r="Y33" s="22" t="s">
        <v>3</v>
      </c>
      <c r="Z33" s="22" t="s">
        <v>10</v>
      </c>
    </row>
    <row r="34" spans="22:26" x14ac:dyDescent="0.35">
      <c r="V34" s="31" t="s">
        <v>450</v>
      </c>
      <c r="W34" s="31" t="s">
        <v>93</v>
      </c>
      <c r="X34" s="31" t="s">
        <v>24</v>
      </c>
      <c r="Y34" s="31" t="s">
        <v>14</v>
      </c>
      <c r="Z34" s="32">
        <v>9.43</v>
      </c>
    </row>
    <row r="35" spans="22:26" x14ac:dyDescent="0.35">
      <c r="V35" s="33" t="s">
        <v>451</v>
      </c>
      <c r="W35" s="33" t="s">
        <v>175</v>
      </c>
      <c r="X35" s="33" t="s">
        <v>20</v>
      </c>
      <c r="Y35" s="33" t="s">
        <v>23</v>
      </c>
      <c r="Z35" s="34">
        <v>9.3000000000000007</v>
      </c>
    </row>
    <row r="36" spans="22:26" x14ac:dyDescent="0.35">
      <c r="V36" s="35" t="s">
        <v>452</v>
      </c>
      <c r="W36" s="35" t="s">
        <v>301</v>
      </c>
      <c r="X36" s="35" t="s">
        <v>15</v>
      </c>
      <c r="Y36" s="35" t="s">
        <v>57</v>
      </c>
      <c r="Z36" s="36">
        <v>9.17</v>
      </c>
    </row>
    <row r="37" spans="22:26" x14ac:dyDescent="0.35">
      <c r="V37" s="33" t="s">
        <v>453</v>
      </c>
      <c r="W37" s="33" t="s">
        <v>201</v>
      </c>
      <c r="X37" s="33" t="s">
        <v>46</v>
      </c>
      <c r="Y37" s="33" t="s">
        <v>23</v>
      </c>
      <c r="Z37" s="34">
        <v>9.1</v>
      </c>
    </row>
    <row r="38" spans="22:26" x14ac:dyDescent="0.35">
      <c r="V38" s="35" t="s">
        <v>454</v>
      </c>
      <c r="W38" s="35" t="s">
        <v>205</v>
      </c>
      <c r="X38" s="35" t="s">
        <v>24</v>
      </c>
      <c r="Y38" s="35" t="s">
        <v>57</v>
      </c>
      <c r="Z38" s="36">
        <v>9.1</v>
      </c>
    </row>
    <row r="39" spans="22:26" x14ac:dyDescent="0.35">
      <c r="V39" s="33" t="s">
        <v>455</v>
      </c>
      <c r="W39" s="33" t="s">
        <v>405</v>
      </c>
      <c r="X39" s="33" t="s">
        <v>24</v>
      </c>
      <c r="Y39" s="33" t="s">
        <v>14</v>
      </c>
      <c r="Z39" s="34">
        <v>9.0299999999999994</v>
      </c>
    </row>
    <row r="40" spans="22:26" x14ac:dyDescent="0.35">
      <c r="V40" s="35" t="s">
        <v>456</v>
      </c>
      <c r="W40" s="35" t="s">
        <v>227</v>
      </c>
      <c r="X40" s="35" t="s">
        <v>20</v>
      </c>
      <c r="Y40" s="35" t="s">
        <v>14</v>
      </c>
      <c r="Z40" s="36">
        <v>8.9700000000000006</v>
      </c>
    </row>
    <row r="41" spans="22:26" x14ac:dyDescent="0.35">
      <c r="V41" s="33" t="s">
        <v>457</v>
      </c>
      <c r="W41" s="33" t="s">
        <v>61</v>
      </c>
      <c r="X41" s="33" t="s">
        <v>46</v>
      </c>
      <c r="Y41" s="33" t="s">
        <v>14</v>
      </c>
      <c r="Z41" s="34">
        <v>8.8000000000000007</v>
      </c>
    </row>
    <row r="42" spans="22:26" x14ac:dyDescent="0.35">
      <c r="V42" s="35" t="s">
        <v>458</v>
      </c>
      <c r="W42" s="35" t="s">
        <v>347</v>
      </c>
      <c r="X42" s="35" t="s">
        <v>39</v>
      </c>
      <c r="Y42" s="35" t="s">
        <v>19</v>
      </c>
      <c r="Z42" s="36">
        <v>8.8000000000000007</v>
      </c>
    </row>
    <row r="43" spans="22:26" x14ac:dyDescent="0.35">
      <c r="V43" s="33" t="s">
        <v>459</v>
      </c>
      <c r="W43" s="33" t="s">
        <v>127</v>
      </c>
      <c r="X43" s="33" t="s">
        <v>24</v>
      </c>
      <c r="Y43" s="33" t="s">
        <v>19</v>
      </c>
      <c r="Z43" s="34">
        <v>8.77</v>
      </c>
    </row>
  </sheetData>
  <mergeCells count="18">
    <mergeCell ref="B9:F9"/>
    <mergeCell ref="H9:L9"/>
    <mergeCell ref="N9:R9"/>
    <mergeCell ref="T9:X9"/>
    <mergeCell ref="V32:Z32"/>
    <mergeCell ref="B6:F7"/>
    <mergeCell ref="H6:L7"/>
    <mergeCell ref="N6:R7"/>
    <mergeCell ref="T6:X7"/>
    <mergeCell ref="B8:F8"/>
    <mergeCell ref="H8:L8"/>
    <mergeCell ref="N8:R8"/>
    <mergeCell ref="T8:X8"/>
    <mergeCell ref="B1:Y3"/>
    <mergeCell ref="B5:F5"/>
    <mergeCell ref="H5:L5"/>
    <mergeCell ref="N5:R5"/>
    <mergeCell ref="T5:X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Data</vt:lpstr>
      <vt:lpstr>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1</cp:revision>
  <dcterms:created xsi:type="dcterms:W3CDTF">2026-06-03T10:34:19Z</dcterms:created>
  <dcterms:modified xsi:type="dcterms:W3CDTF">2026-06-03T10:57:42Z</dcterms:modified>
  <dc:language>en-US</dc:language>
</cp:coreProperties>
</file>